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nv-my.sharepoint.com/personal/luis_baquero_dnv_com/Documents/01_OEPA/05_SCADA_Projects/10638777_OEPA_BlackRock_Sisu_FI/04_Layout&amp;Mapping/Maps/data/"/>
    </mc:Choice>
  </mc:AlternateContent>
  <xr:revisionPtr revIDLastSave="16" documentId="13_ncr:1_{F67C4CDF-A38F-4B2D-81BF-8452FC8AC71A}" xr6:coauthVersionLast="47" xr6:coauthVersionMax="47" xr10:uidLastSave="{74ECE427-BC5B-4D37-8387-28B4319C366F}"/>
  <bookViews>
    <workbookView xWindow="-120" yWindow="-120" windowWidth="29040" windowHeight="15720" activeTab="3" xr2:uid="{00000000-000D-0000-FFFF-FFFF00000000}"/>
  </bookViews>
  <sheets>
    <sheet name="Info" sheetId="7" r:id="rId1"/>
    <sheet name="wind_farms" sheetId="1" r:id="rId2"/>
    <sheet name="turbines" sheetId="2" r:id="rId3"/>
    <sheet name="grid_cells" sheetId="3" r:id="rId4"/>
    <sheet name="settings_basic" sheetId="4" r:id="rId5"/>
    <sheet name="settings_advanced" sheetId="5" r:id="rId6"/>
    <sheet name="style_reference"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4" l="1"/>
</calcChain>
</file>

<file path=xl/sharedStrings.xml><?xml version="1.0" encoding="utf-8"?>
<sst xmlns="http://schemas.openxmlformats.org/spreadsheetml/2006/main" count="500" uniqueCount="324">
  <si>
    <t>name</t>
  </si>
  <si>
    <t>lon</t>
  </si>
  <si>
    <t>lat</t>
  </si>
  <si>
    <t>capacity_mw</t>
  </si>
  <si>
    <t>farm_name</t>
  </si>
  <si>
    <t>turbine_id</t>
  </si>
  <si>
    <t>rotor_diameter_m</t>
  </si>
  <si>
    <t>turbine_type</t>
  </si>
  <si>
    <t>dataset</t>
  </si>
  <si>
    <t>label</t>
  </si>
  <si>
    <t>ERA5</t>
  </si>
  <si>
    <t>MERRA2</t>
  </si>
  <si>
    <t>Map</t>
  </si>
  <si>
    <t>key</t>
  </si>
  <si>
    <t>value</t>
  </si>
  <si>
    <t>description</t>
  </si>
  <si>
    <t>title</t>
  </si>
  <si>
    <t>Map title drawn in the top margin band; leave blank and no title is drawn (the map reclaims that vertical space).</t>
  </si>
  <si>
    <t>subtitle</t>
  </si>
  <si>
    <t>Smaller line under the title; only shown if title is also set.</t>
  </si>
  <si>
    <t>author</t>
  </si>
  <si>
    <t>"Author: ..." line in the footer.</t>
  </si>
  <si>
    <t>date</t>
  </si>
  <si>
    <t>auto</t>
  </si>
  <si>
    <t>"auto" resolves to today's date (ISO); or set an explicit value, e.g. 2026-09-01.</t>
  </si>
  <si>
    <t>notes</t>
  </si>
  <si>
    <t>Comma-separated cell -&gt; list of extra free-text lines appended to the footer, e.g. "Internal draft, Not for distribution".</t>
  </si>
  <si>
    <t>attribution.text</t>
  </si>
  <si>
    <t>© OpenStreetMap (OSM)</t>
  </si>
  <si>
    <t>Copyright/attribution line in the footer.</t>
  </si>
  <si>
    <t>company.name</t>
  </si>
  <si>
    <t>DNV Energy Systems Germany GmbH</t>
  </si>
  <si>
    <t>Company name -- stored but not currently drawn as text (only company.logo_path shows, as the logo image).</t>
  </si>
  <si>
    <t>company.logo_scale</t>
  </si>
  <si>
    <t>Multiplier on the logo's footer size (e.g. 1.5 = 50% bigger), anchored to the bottom-right corner.</t>
  </si>
  <si>
    <t>map.crs</t>
  </si>
  <si>
    <t>EPSG:4326</t>
  </si>
  <si>
    <t>basemap.show</t>
  </si>
  <si>
    <t>Toggle the basemap on/off.</t>
  </si>
  <si>
    <t>basemap.provider</t>
  </si>
  <si>
    <t>OpenStreetMap.Mapnik</t>
  </si>
  <si>
    <t>Dotted path into contextily.providers. Try "CartoDB.Positron"/"Esri.WorldGrayCanvas" for a muted look, or "Esri.WorldShadedRelief"/"OpenTopoMap"/"Esri.WorldTopoMap" for a terrain/relief basemap. A full URL template containing {x}/{y}/{z} (e.g. a Mapbox/Google/private tile URL with your own API key already embedded) is also accepted and used as-is instead of being looked up in contextily.providers.</t>
  </si>
  <si>
    <t>graticule.show</t>
  </si>
  <si>
    <t>Toggle the coordinate grid/ticks on/off.</t>
  </si>
  <si>
    <t>legend.show</t>
  </si>
  <si>
    <t>Toggle the legend panel on/off.</t>
  </si>
  <si>
    <t>legend.title</t>
  </si>
  <si>
    <t>Legend</t>
  </si>
  <si>
    <t>Legend panel heading.</t>
  </si>
  <si>
    <t>scalebar.show</t>
  </si>
  <si>
    <t>Toggle the scale bar on/off.</t>
  </si>
  <si>
    <t>north_arrow.show</t>
  </si>
  <si>
    <t>Toggle the compass rose on/off.</t>
  </si>
  <si>
    <t>inset_map.show</t>
  </si>
  <si>
    <t>footer.show</t>
  </si>
  <si>
    <t>Toggle the whole footer strip on/off.</t>
  </si>
  <si>
    <t>Portfolio Map</t>
  </si>
  <si>
    <t>enabled</t>
  </si>
  <si>
    <t>Turbine Map</t>
  </si>
  <si>
    <t>ERA5/MERRA2 Map</t>
  </si>
  <si>
    <t>export.filename</t>
  </si>
  <si>
    <t>wind_farm_locations.png</t>
  </si>
  <si>
    <t>Output PNG filename, saved into export.output_dir.</t>
  </si>
  <si>
    <t>inset_map.location</t>
  </si>
  <si>
    <t>upper left</t>
  </si>
  <si>
    <t>Inset overview's corner. Upper-left is empty of data for this dataset (SE/NE hold real farms) -- pick a corner clear of your own data; the inset is opaque and covers whatever's beneath it.</t>
  </si>
  <si>
    <t>style.marker</t>
  </si>
  <si>
    <t>o</t>
  </si>
  <si>
    <t>Marker shape -- pick from the dropdown, or type any matplotlib marker code (full list: https://matplotlib.org/stable/api/markers_api.html).</t>
  </si>
  <si>
    <t>style.size_field</t>
  </si>
  <si>
    <t>style.label_points</t>
  </si>
  <si>
    <t>Draw each farm's name next to its point.</t>
  </si>
  <si>
    <t>style.declutter_labels</t>
  </si>
  <si>
    <t>Reorient a label around its point (instead of a fixed spot) if needed to avoid overlapping another label -- labels are never dropped.</t>
  </si>
  <si>
    <t>turbines.png</t>
  </si>
  <si>
    <t>Output PNG filename base -- auto-suffixed per farm since the turbines sheet holds more than one farm_name, e.g. turbines_gemini_reef.png.</t>
  </si>
  <si>
    <t>Marker shape -- pick from the dropdown, or type any matplotlib marker code.</t>
  </si>
  <si>
    <t>style.marker_size</t>
  </si>
  <si>
    <t>Marker size.</t>
  </si>
  <si>
    <t>Draw each turbine's turbine_id next to its point.</t>
  </si>
  <si>
    <t>Same overlap-avoiding reorientation as wind_farms above, in turbine_id order.</t>
  </si>
  <si>
    <t>style.color_field</t>
  </si>
  <si>
    <t>era5_merra2_grid_cells.png</t>
  </si>
  <si>
    <t>Output PNG filename base -- auto-suffixed per farm since the grid_cells sheet holds more than one farm_name.</t>
  </si>
  <si>
    <t>D</t>
  </si>
  <si>
    <t>Fallback marker shape for any dataset not listed in style.dataset_markers -- pick from the dropdown, or type any matplotlib marker code.</t>
  </si>
  <si>
    <t>style.dataset_markers.ERA5</t>
  </si>
  <si>
    <t>Per-dataset marker shape override.</t>
  </si>
  <si>
    <t>style.dataset_markers.MERRA2</t>
  </si>
  <si>
    <t>style.dataset_colors.ERA5</t>
  </si>
  <si>
    <t>steelblue</t>
  </si>
  <si>
    <t>Per-dataset color -- pick from the dropdown (named matplotlib colors, see the style_reference sheet), or type any matplotlib color name/hex code.</t>
  </si>
  <si>
    <t>style.dataset_colors.MERRA2</t>
  </si>
  <si>
    <t>chocolate</t>
  </si>
  <si>
    <t>Per-dataset color.</t>
  </si>
  <si>
    <t>Marker size (shared across datasets).</t>
  </si>
  <si>
    <t>Draw a label next to any grid_cells row whose label column is non-blank (see the grid_cells sheet); rows with a blank label just show their point, unlabeled.</t>
  </si>
  <si>
    <t>reference_point.show</t>
  </si>
  <si>
    <t>Toggle the reference point on/off. Its name/lon/lat are found automatically from the matching farm in the wind_farms sheet -- or from a dataset="reference" row in grid_cells, if you want it somewhere else. See settings_advanced for its marker/color/size styling.</t>
  </si>
  <si>
    <t>map.figsize</t>
  </si>
  <si>
    <t>Page size in inches, width, height (landscape).</t>
  </si>
  <si>
    <t>map.dpi</t>
  </si>
  <si>
    <t>Resolution (dots per inch) of the exported PNG.</t>
  </si>
  <si>
    <t>map.background_color</t>
  </si>
  <si>
    <t>white</t>
  </si>
  <si>
    <t>Page/figure background color -- pick from the dropdown, or type any matplotlib color name/hex code.</t>
  </si>
  <si>
    <t>map.padding_fraction</t>
  </si>
  <si>
    <t>map.extent</t>
  </si>
  <si>
    <t>xmin, xmax, ymin, ymax to force an exact extent instead of deriving one from the data. Leave blank for auto.</t>
  </si>
  <si>
    <t>basemap.zoom</t>
  </si>
  <si>
    <t>Tile zoom level; leave auto or set a fixed integer for explicit control.</t>
  </si>
  <si>
    <t>basemap.zoom_adjust</t>
  </si>
  <si>
    <t>Bumps the auto-computed tile zoom level up by this many levels for sharper/more-detailed tiles (each +1 roughly doubles tile resolution); 0 = contextily's own auto choice as-is. Raise further (2-3) if basemap text/lines still look soft.</t>
  </si>
  <si>
    <t>basemap.alpha</t>
  </si>
  <si>
    <t>Basemap opacity, 0-1.</t>
  </si>
  <si>
    <t>basemap.headers.User-Agent</t>
  </si>
  <si>
    <t>HTTP header sent with tile requests -- OSM enforces this and will serve a visible "Access blocked" tile (not a silent failure) for a generic/placeholder User-Agent. Replace the contact email before heavy/production use.</t>
  </si>
  <si>
    <t>basemap.timeout</t>
  </si>
  <si>
    <t>Seconds to wait for a tile server to respond before giving up on that tile. Without this, an unresponsive/rate-limiting server (some free providers throttle or silently drop requests from datacenter/cloud IPs) can hang the whole render indefinitely instead of falling back to a flat fill; lower for faster failover, raise on a slow connection.</t>
  </si>
  <si>
    <t>basemap.interpolation</t>
  </si>
  <si>
    <t>bilinear</t>
  </si>
  <si>
    <t>How the basemap's fixed-resolution tile pixels are resampled up to the map panel's print size. Try "lanczos" for crisper-looking tile text/lines at high dpi (at some risk of ringing artifacts on hard edges) -- raising basemap.zoom_adjust helps more, since it fetches genuinely more detailed tiles instead of just resampling the same ones.</t>
  </si>
  <si>
    <t>graticule.n_ticks</t>
  </si>
  <si>
    <t>Approximate number of tick/cross lines per axis; shared fallback for both axes when n_ticks_x/n_ticks_y aren't set.</t>
  </si>
  <si>
    <t>graticule.n_ticks_x</t>
  </si>
  <si>
    <t>Horizontal-axis tick density, independent of the vertical axis. Falls back to graticule.n_ticks if unset.</t>
  </si>
  <si>
    <t>graticule.n_ticks_y</t>
  </si>
  <si>
    <t>Vertical-axis tick density, independent of the horizontal axis. Falls back to graticule.n_ticks if unset.</t>
  </si>
  <si>
    <t>graticule.format</t>
  </si>
  <si>
    <t>decimal</t>
  </si>
  <si>
    <t>decimal (e.g. 5.90°) or dms (degrees/minutes/seconds, e.g. 5°54'00.0"). Only applies when map.crs is geographic (e.g. the default EPSG:4326) -- a projected CRS like UTM always shows native-unit (meter) ticks instead.</t>
  </si>
  <si>
    <t>graticule.hemisphere_labels</t>
  </si>
  <si>
    <t>true appends E/N/W/S; false drops the letter and keeps a "-" sign for west/south instead.</t>
  </si>
  <si>
    <t>graticule.fontsize</t>
  </si>
  <si>
    <t>Tick label font size.</t>
  </si>
  <si>
    <t>graticule.color</t>
  </si>
  <si>
    <t>0.35</t>
  </si>
  <si>
    <t>Tick/cross mark color. Left as a grayscale intensity (0=black, 1=white) rather than a named color for fine-grained control; the dropdown also offers a few named grays if you'd rather use one.</t>
  </si>
  <si>
    <t>graticule.linewidth</t>
  </si>
  <si>
    <t>Tick/cross mark line width.</t>
  </si>
  <si>
    <t>graticule.frame</t>
  </si>
  <si>
    <t>Draw the black frame/spines around the map panel.</t>
  </si>
  <si>
    <t>scalebar.units</t>
  </si>
  <si>
    <t>auto (m below 1 km, else km), or force m/km.</t>
  </si>
  <si>
    <t>scalebar.length_fraction</t>
  </si>
  <si>
    <t>Target fraction of the scale bar panel's width the bar should roughly fill before rounding to a nice number.</t>
  </si>
  <si>
    <t>north_arrow.location</t>
  </si>
  <si>
    <t>lower right</t>
  </si>
  <si>
    <t>Corner inside the map frame: upper left/upper right/lower left/lower right.</t>
  </si>
  <si>
    <t>north_arrow.size</t>
  </si>
  <si>
    <t>Arrow size, as a fraction of the map panel.</t>
  </si>
  <si>
    <t>lower left</t>
  </si>
  <si>
    <t>Corner inside the map frame (same 4 options as north_arrow.location).</t>
  </si>
  <si>
    <t>inset_map.size</t>
  </si>
  <si>
    <t>Inset size as a fraction of the map panel.</t>
  </si>
  <si>
    <t>inset_map.zoom_out_factor</t>
  </si>
  <si>
    <t>How many times wider/taller the inset's view is than the main map's extent.</t>
  </si>
  <si>
    <t>inset_map.bbox_edgecolor</t>
  </si>
  <si>
    <t>red</t>
  </si>
  <si>
    <t>Color of the ROI bounding box drawn on the inset -- pick from the dropdown, or type any matplotlib color name/hex code.</t>
  </si>
  <si>
    <t>inset_map.bbox_linewidth</t>
  </si>
  <si>
    <t>Line width of that ROI bounding box.</t>
  </si>
  <si>
    <t>inset_map.min_bbox_frac</t>
  </si>
  <si>
    <t>Floors the ROI box to at least this fraction of the inset's width/height, so it stays visible at a large zoom_out_factor.</t>
  </si>
  <si>
    <t>footer.height_fraction</t>
  </si>
  <si>
    <t>How tall the footer band is, as a fraction of the page.</t>
  </si>
  <si>
    <t>footer.column_widths</t>
  </si>
  <si>
    <t>Relative widths of the legend / scale bar / CRS / date-author-copyright+logo columns.</t>
  </si>
  <si>
    <t>footer.fontsize</t>
  </si>
  <si>
    <t>Footer text size.</t>
  </si>
  <si>
    <t>footer.text_color</t>
  </si>
  <si>
    <t>0.15</t>
  </si>
  <si>
    <t>Footer text color. Same grayscale-intensity convention as graticule.color above; the dropdown also offers named grays.</t>
  </si>
  <si>
    <t>export.output_dir</t>
  </si>
  <si>
    <t>../output</t>
  </si>
  <si>
    <t>Output folder, resolved relative to the workbook's own directory.</t>
  </si>
  <si>
    <t>export.transparent</t>
  </si>
  <si>
    <t>Export with a transparent background instead of map.background_color.</t>
  </si>
  <si>
    <t>data.selected_farm</t>
  </si>
  <si>
    <t>turbines/grid_cells only: pin the render to one farm_name instead of auto-rendering one map per farm. Leave blank for the auto-split default.</t>
  </si>
  <si>
    <t>data.selected_datasets</t>
  </si>
  <si>
    <t>grid_cells only: comma-separated list of dataset values to include; leave blank to render every dataset present.</t>
  </si>
  <si>
    <t>Smaller inset than the global default, so it covers less of the tightly-packed turbine layout.</t>
  </si>
  <si>
    <t>Raised above the global 0.05 default -- this large a zoom_out_factor would otherwise shrink the true ROI box to a barely-visible sliver.</t>
  </si>
  <si>
    <t>Fewer ticks than the global default -- a single farm's extent is small enough that 5+ ticks would crowd the frame.</t>
  </si>
  <si>
    <t>Bigger inset than the global default, matching this map's broader regional context.</t>
  </si>
  <si>
    <t>Raised above the global 0.05 default for the same visibility reason as turbines, just a smaller bump since zoom_out_factor is lower here.</t>
  </si>
  <si>
    <t>Smaller than the global default -- proportionally less obtrusive on this wide regional map.</t>
  </si>
  <si>
    <t>Independent horizontal tick density -- this grid is wider than tall, so a different count than n_ticks_y keeps spacing even on both axes.</t>
  </si>
  <si>
    <t>Independent vertical tick density.</t>
  </si>
  <si>
    <t>reference_point.marker</t>
  </si>
  <si>
    <t>Reference point marker shape -- pick from the dropdown, or type any matplotlib marker code (full list: https://matplotlib.org/stable/api/markers_api.html).</t>
  </si>
  <si>
    <t>reference_point.color</t>
  </si>
  <si>
    <t>firebrick</t>
  </si>
  <si>
    <t>Reference point marker color.</t>
  </si>
  <si>
    <t>reference_point.size</t>
  </si>
  <si>
    <t>Reference point marker size.</t>
  </si>
  <si>
    <t>Color name</t>
  </si>
  <si>
    <t>Swatch</t>
  </si>
  <si>
    <t>Marker code</t>
  </si>
  <si>
    <t>Meaning</t>
  </si>
  <si>
    <t>black</t>
  </si>
  <si>
    <t>circle</t>
  </si>
  <si>
    <t>dimgray</t>
  </si>
  <si>
    <t>s</t>
  </si>
  <si>
    <t>square</t>
  </si>
  <si>
    <t>gray</t>
  </si>
  <si>
    <t>diamond (large)</t>
  </si>
  <si>
    <t>darkgray</t>
  </si>
  <si>
    <t>d</t>
  </si>
  <si>
    <t>diamond (thin)</t>
  </si>
  <si>
    <t>lightgray</t>
  </si>
  <si>
    <t>^</t>
  </si>
  <si>
    <t>triangle, pointing up</t>
  </si>
  <si>
    <t>v</t>
  </si>
  <si>
    <t>triangle, pointing down</t>
  </si>
  <si>
    <t>&lt;</t>
  </si>
  <si>
    <t>triangle, pointing left</t>
  </si>
  <si>
    <t>royalblue</t>
  </si>
  <si>
    <t>&gt;</t>
  </si>
  <si>
    <t>triangle, pointing right</t>
  </si>
  <si>
    <t>navy</t>
  </si>
  <si>
    <t>p</t>
  </si>
  <si>
    <t>pentagon</t>
  </si>
  <si>
    <t>skyblue</t>
  </si>
  <si>
    <t>h</t>
  </si>
  <si>
    <t>hexagon</t>
  </si>
  <si>
    <t>teal</t>
  </si>
  <si>
    <t>8</t>
  </si>
  <si>
    <t>octagon</t>
  </si>
  <si>
    <t>darkcyan</t>
  </si>
  <si>
    <t>*</t>
  </si>
  <si>
    <t>star</t>
  </si>
  <si>
    <t>forestgreen</t>
  </si>
  <si>
    <t>P</t>
  </si>
  <si>
    <t>plus (filled)</t>
  </si>
  <si>
    <t>seagreen</t>
  </si>
  <si>
    <t>X</t>
  </si>
  <si>
    <t>x (filled)</t>
  </si>
  <si>
    <t>olive</t>
  </si>
  <si>
    <t>+</t>
  </si>
  <si>
    <t>plus (thin)</t>
  </si>
  <si>
    <t>goldenrod</t>
  </si>
  <si>
    <t>x</t>
  </si>
  <si>
    <t>x (thin)</t>
  </si>
  <si>
    <t>gold</t>
  </si>
  <si>
    <t>darkorange</t>
  </si>
  <si>
    <t>crimson</t>
  </si>
  <si>
    <t>tomato</t>
  </si>
  <si>
    <t>purple</t>
  </si>
  <si>
    <t>indigo</t>
  </si>
  <si>
    <t>mediumvioletred</t>
  </si>
  <si>
    <t>brown</t>
  </si>
  <si>
    <t>saddlebrown</t>
  </si>
  <si>
    <t>slategray</t>
  </si>
  <si>
    <t>These lists feed the dropdowns on settings_basic/settings_advanced's "value" column. They're a convenient shortlist, not an exhaustive one -- you can always type any matplotlib color name/hex code or marker code by hand instead.</t>
  </si>
  <si>
    <t>Full marker reference:</t>
  </si>
  <si>
    <t>https://matplotlib.org/stable/api/markers_api.html</t>
  </si>
  <si>
    <t>Mandatory</t>
  </si>
  <si>
    <t>Use this sheet for ERA5/MERRA2 Maps</t>
  </si>
  <si>
    <t>Optional</t>
  </si>
  <si>
    <t>Use this sheet to plot individual wind farms</t>
  </si>
  <si>
    <t>Use this sheet to plot the different windfarms that are part of your portfolio</t>
  </si>
  <si>
    <t>mapmaker/1.0</t>
  </si>
  <si>
    <t>Toggle the overview (mini) zoom out map on/off.</t>
  </si>
  <si>
    <t>13, 10</t>
  </si>
  <si>
    <t>Set false to skip rendering the Portfolio map entirely.</t>
  </si>
  <si>
    <t>Set false to skip rendering the Windfarm map(s) entirely.</t>
  </si>
  <si>
    <t>Set false to skip rendering the ERA5/MERRA2 map(s) entirely.</t>
  </si>
  <si>
    <t>Default: WGS84 (EPSG:4326), using Latitude (Lat) and Longitude (Lon) in decimal degrees. Any pyproj-recognized CRS can be used instead (for example, a UTM zone such as EPSG:32631). Graticule ticks automatically use the selected CRS units. See settings_advanced for the UTM zone mismatch warning.</t>
  </si>
  <si>
    <t>Adds extra space around the data extent. Lower values zoom in closer to the data, while higher values zoom out to show more surrounding area.</t>
  </si>
  <si>
    <t>Optional numeric column used to scale marker size. Markers will be sized based on the values in this column; if not specified, all markers are shown using the default fixed size.</t>
  </si>
  <si>
    <t>Optional column used to color markers. Markers are colored based on the values in this column, with each unique value getting its own color and legend entry. If not specified, all markers use the default color.</t>
  </si>
  <si>
    <t>Zoom level for the overview map. Higher values show a larger area, while lower values show a smaller area.</t>
  </si>
  <si>
    <t>MapMaker</t>
  </si>
  <si>
    <t>Creates publication-ready maps for wind farms, turbines, and reanalysis grid cells.</t>
  </si>
  <si>
    <r>
      <t>Version:</t>
    </r>
    <r>
      <rPr>
        <sz val="11"/>
        <color theme="1"/>
        <rFont val="Segoe UI"/>
        <family val="2"/>
      </rPr>
      <t xml:space="preserve"> v1.0</t>
    </r>
  </si>
  <si>
    <r>
      <t>Last updated:</t>
    </r>
    <r>
      <rPr>
        <sz val="11"/>
        <color theme="1"/>
        <rFont val="Segoe UI"/>
        <family val="2"/>
      </rPr>
      <t xml:space="preserve"> September 2026</t>
    </r>
  </si>
  <si>
    <t>Worksheets</t>
  </si>
  <si>
    <t>wind_farms</t>
  </si>
  <si>
    <t>Input wind farm locations and attributes used in portfolio and overview maps.</t>
  </si>
  <si>
    <t>turbines</t>
  </si>
  <si>
    <t>Input turbine locations and turbine-specific data for detailed turbine maps.</t>
  </si>
  <si>
    <t>grid_cells</t>
  </si>
  <si>
    <t>Input ERA5 and MERRA2 grid cell locations associated with wind farms.</t>
  </si>
  <si>
    <t>settings_basic</t>
  </si>
  <si>
    <t>Configure the most commonly used map settings, styling options, and exports.</t>
  </si>
  <si>
    <t>settings_advanced</t>
  </si>
  <si>
    <t>Configure advanced map appearance, layout, CRS, legend, and rendering options.</t>
  </si>
  <si>
    <t>style_reference</t>
  </si>
  <si>
    <t>Reference sheet containing available colors, markers, and styling examples.</t>
  </si>
  <si>
    <t>Notes</t>
  </si>
  <si>
    <t>1. Coordinates are expected in WGS84 (Latitude/Longitude) by default.</t>
  </si>
  <si>
    <t>2. Only fields marked as required need to be populated.</t>
  </si>
  <si>
    <t>3. Optional fields enable additional styling, labeling, and map customization.</t>
  </si>
  <si>
    <t>4. Output maps are generated using the settings provided in this workbook.</t>
  </si>
  <si>
    <t>Yash</t>
  </si>
  <si>
    <t>style.base_marker_size</t>
  </si>
  <si>
    <t>style.label_fontsize</t>
  </si>
  <si>
    <t>Enable the inset map</t>
  </si>
  <si>
    <t>Font size of the label</t>
  </si>
  <si>
    <t>inset_map.fixed_span_km</t>
  </si>
  <si>
    <t>1.0, 1.7, 1.0, 2.1</t>
  </si>
  <si>
    <t>1.5, 1.8, 1.6, 2.1</t>
  </si>
  <si>
    <t>Kyyjärvi</t>
  </si>
  <si>
    <t>T_01</t>
  </si>
  <si>
    <t>T_02</t>
  </si>
  <si>
    <t>T_03</t>
  </si>
  <si>
    <t>T_04</t>
  </si>
  <si>
    <t>T_05</t>
  </si>
  <si>
    <t>T_06</t>
  </si>
  <si>
    <t>T_08</t>
  </si>
  <si>
    <t>T_09</t>
  </si>
  <si>
    <t>C</t>
  </si>
  <si>
    <t>N</t>
  </si>
  <si>
    <t>NE</t>
  </si>
  <si>
    <t>E</t>
  </si>
  <si>
    <t>SE</t>
  </si>
  <si>
    <t>S</t>
  </si>
  <si>
    <t>SW</t>
  </si>
  <si>
    <t>W</t>
  </si>
  <si>
    <t>NW</t>
  </si>
  <si>
    <t>style.legend_label</t>
  </si>
  <si>
    <t>Name of the Portfolio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</si>
</sst>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8" x14ac:knownFonts="1">
    <font>
      <sz val="11"/>
      <color theme="1"/>
      <name val="Calibri"/>
      <family val="2"/>
      <scheme val="minor"/>
    </font>
    <font>
      <b/>
      <sz val="11"/>
      <name val="Calibri"/>
      <family val="2"/>
    </font>
    <font>
      <u/>
      <sz val="11"/>
      <color rgb="FF0563C1"/>
      <name val="Calibri"/>
      <family val="2"/>
    </font>
    <font>
      <b/>
      <sz val="11"/>
      <color theme="1"/>
      <name val="Calibri"/>
      <family val="2"/>
      <scheme val="minor"/>
    </font>
    <font>
      <sz val="11"/>
      <color theme="1"/>
      <name val="Segoe UI"/>
      <family val="2"/>
    </font>
    <font>
      <b/>
      <sz val="18"/>
      <color theme="1"/>
      <name val="Segoe UI"/>
      <family val="2"/>
    </font>
    <font>
      <b/>
      <sz val="11"/>
      <color theme="1"/>
      <name val="Segoe UI"/>
      <family val="2"/>
    </font>
    <font>
      <b/>
      <sz val="13.5"/>
      <color theme="1"/>
      <name val="Segoe UI"/>
      <family val="2"/>
    </font>
  </fonts>
  <fills count="34">
    <fill>
      <patternFill patternType="none"/>
    </fill>
    <fill>
      <patternFill patternType="gray125"/>
    </fill>
    <fill>
      <patternFill patternType="solid">
        <fgColor rgb="FF000000"/>
        <bgColor rgb="FF000000"/>
      </patternFill>
    </fill>
    <fill>
      <patternFill patternType="solid">
        <fgColor rgb="FF696969"/>
        <bgColor rgb="FF696969"/>
      </patternFill>
    </fill>
    <fill>
      <patternFill patternType="solid">
        <fgColor rgb="FF808080"/>
        <bgColor rgb="FF808080"/>
      </patternFill>
    </fill>
    <fill>
      <patternFill patternType="solid">
        <fgColor rgb="FFA9A9A9"/>
        <bgColor rgb="FFA9A9A9"/>
      </patternFill>
    </fill>
    <fill>
      <patternFill patternType="solid">
        <fgColor rgb="FFD3D3D3"/>
        <bgColor rgb="FFD3D3D3"/>
      </patternFill>
    </fill>
    <fill>
      <patternFill patternType="solid">
        <fgColor rgb="FFFFFFFF"/>
        <bgColor rgb="FFFFFFFF"/>
      </patternFill>
    </fill>
    <fill>
      <patternFill patternType="solid">
        <fgColor rgb="FF4682B4"/>
        <bgColor rgb="FF4682B4"/>
      </patternFill>
    </fill>
    <fill>
      <patternFill patternType="solid">
        <fgColor rgb="FF4169E1"/>
        <bgColor rgb="FF4169E1"/>
      </patternFill>
    </fill>
    <fill>
      <patternFill patternType="solid">
        <fgColor rgb="FF000080"/>
        <bgColor rgb="FF000080"/>
      </patternFill>
    </fill>
    <fill>
      <patternFill patternType="solid">
        <fgColor rgb="FF87CEEB"/>
        <bgColor rgb="FF87CEEB"/>
      </patternFill>
    </fill>
    <fill>
      <patternFill patternType="solid">
        <fgColor rgb="FF008080"/>
        <bgColor rgb="FF008080"/>
      </patternFill>
    </fill>
    <fill>
      <patternFill patternType="solid">
        <fgColor rgb="FF008B8B"/>
        <bgColor rgb="FF008B8B"/>
      </patternFill>
    </fill>
    <fill>
      <patternFill patternType="solid">
        <fgColor rgb="FF228B22"/>
        <bgColor rgb="FF228B22"/>
      </patternFill>
    </fill>
    <fill>
      <patternFill patternType="solid">
        <fgColor rgb="FF2E8B57"/>
        <bgColor rgb="FF2E8B57"/>
      </patternFill>
    </fill>
    <fill>
      <patternFill patternType="solid">
        <fgColor rgb="FF808000"/>
        <bgColor rgb="FF808000"/>
      </patternFill>
    </fill>
    <fill>
      <patternFill patternType="solid">
        <fgColor rgb="FFDAA520"/>
        <bgColor rgb="FFDAA520"/>
      </patternFill>
    </fill>
    <fill>
      <patternFill patternType="solid">
        <fgColor rgb="FFFFD700"/>
        <bgColor rgb="FFFFD700"/>
      </patternFill>
    </fill>
    <fill>
      <patternFill patternType="solid">
        <fgColor rgb="FFFF8C00"/>
        <bgColor rgb="FFFF8C00"/>
      </patternFill>
    </fill>
    <fill>
      <patternFill patternType="solid">
        <fgColor rgb="FFD2691E"/>
        <bgColor rgb="FFD2691E"/>
      </patternFill>
    </fill>
    <fill>
      <patternFill patternType="solid">
        <fgColor rgb="FFB22222"/>
        <bgColor rgb="FFB22222"/>
      </patternFill>
    </fill>
    <fill>
      <patternFill patternType="solid">
        <fgColor rgb="FFDC143C"/>
        <bgColor rgb="FFDC143C"/>
      </patternFill>
    </fill>
    <fill>
      <patternFill patternType="solid">
        <fgColor rgb="FFFF6347"/>
        <bgColor rgb="FFFF6347"/>
      </patternFill>
    </fill>
    <fill>
      <patternFill patternType="solid">
        <fgColor rgb="FF800080"/>
        <bgColor rgb="FF800080"/>
      </patternFill>
    </fill>
    <fill>
      <patternFill patternType="solid">
        <fgColor rgb="FF4B0082"/>
        <bgColor rgb="FF4B0082"/>
      </patternFill>
    </fill>
    <fill>
      <patternFill patternType="solid">
        <fgColor rgb="FFC71585"/>
        <bgColor rgb="FFC71585"/>
      </patternFill>
    </fill>
    <fill>
      <patternFill patternType="solid">
        <fgColor rgb="FFA52A2A"/>
        <bgColor rgb="FFA52A2A"/>
      </patternFill>
    </fill>
    <fill>
      <patternFill patternType="solid">
        <fgColor rgb="FF8B4513"/>
        <bgColor rgb="FF8B4513"/>
      </patternFill>
    </fill>
    <fill>
      <patternFill patternType="solid">
        <fgColor rgb="FF708090"/>
        <bgColor rgb="FF708090"/>
      </patternFill>
    </fill>
    <fill>
      <patternFill patternType="solid">
        <fgColor rgb="FF92D050"/>
        <bgColor indexed="64"/>
      </patternFill>
    </fill>
    <fill>
      <patternFill patternType="solid">
        <fgColor rgb="FFFFFF00"/>
        <bgColor indexed="64"/>
      </patternFill>
    </fill>
    <fill>
      <patternFill patternType="solid">
        <fgColor theme="1" tint="0.499984740745262"/>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0" xfId="0" applyFont="1"/>
    <xf numFmtId="0" fontId="0" fillId="2" borderId="0" xfId="0" applyFill="1"/>
    <xf numFmtId="0" fontId="0" fillId="0" borderId="0" xfId="0" applyAlignment="1">
      <alignment horizontal="center"/>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2" fillId="0" borderId="0" xfId="0" applyFont="1"/>
    <xf numFmtId="0" fontId="0" fillId="30" borderId="0" xfId="0" applyFill="1"/>
    <xf numFmtId="0" fontId="0" fillId="31" borderId="0" xfId="0" applyFill="1"/>
    <xf numFmtId="0" fontId="3" fillId="0" borderId="1" xfId="0" applyFont="1" applyBorder="1"/>
    <xf numFmtId="0" fontId="0" fillId="0" borderId="1" xfId="0" applyBorder="1"/>
    <xf numFmtId="0" fontId="0" fillId="0" borderId="1" xfId="0" applyBorder="1" applyAlignment="1">
      <alignment wrapText="1"/>
    </xf>
    <xf numFmtId="0" fontId="0" fillId="0" borderId="1" xfId="0" applyBorder="1" applyAlignment="1">
      <alignment horizontal="left"/>
    </xf>
    <xf numFmtId="0" fontId="0" fillId="32" borderId="1" xfId="0" applyFill="1" applyBorder="1"/>
    <xf numFmtId="0" fontId="0" fillId="32" borderId="1" xfId="0" applyFill="1" applyBorder="1" applyAlignment="1">
      <alignment horizontal="left"/>
    </xf>
    <xf numFmtId="0" fontId="0" fillId="32" borderId="1" xfId="0" applyFill="1" applyBorder="1" applyAlignment="1">
      <alignment wrapText="1"/>
    </xf>
    <xf numFmtId="0" fontId="0" fillId="32" borderId="0" xfId="0" applyFill="1"/>
    <xf numFmtId="0" fontId="0" fillId="0" borderId="0" xfId="0" applyAlignment="1">
      <alignment vertical="center"/>
    </xf>
    <xf numFmtId="0" fontId="5"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0" fillId="33" borderId="0" xfId="0" applyFill="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581025</xdr:colOff>
      <xdr:row>2</xdr:row>
      <xdr:rowOff>0</xdr:rowOff>
    </xdr:from>
    <xdr:to>
      <xdr:col>16</xdr:col>
      <xdr:colOff>581025</xdr:colOff>
      <xdr:row>26</xdr:row>
      <xdr:rowOff>0</xdr:rowOff>
    </xdr:to>
    <xdr:pic>
      <xdr:nvPicPr>
        <xdr:cNvPr id="3" name="Picture 2">
          <a:extLst>
            <a:ext uri="{FF2B5EF4-FFF2-40B4-BE49-F238E27FC236}">
              <a16:creationId xmlns:a16="http://schemas.microsoft.com/office/drawing/2014/main" id="{B83EBF7C-8361-816A-EE29-5AC349A670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91150" y="381000"/>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atplotlib.org/stable/api/markers_ap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EDC8-1A99-4EFC-9233-346E2FCC7CB7}">
  <sheetPr>
    <tabColor theme="7"/>
  </sheetPr>
  <dimension ref="A4:A38"/>
  <sheetViews>
    <sheetView topLeftCell="A6" workbookViewId="0">
      <selection activeCell="D39" sqref="D39"/>
    </sheetView>
  </sheetViews>
  <sheetFormatPr defaultRowHeight="15" x14ac:dyDescent="0.25"/>
  <sheetData>
    <row r="4" spans="1:1" ht="26.25" x14ac:dyDescent="0.25">
      <c r="A4" s="43" t="s">
        <v>274</v>
      </c>
    </row>
    <row r="5" spans="1:1" x14ac:dyDescent="0.25">
      <c r="A5" s="42"/>
    </row>
    <row r="6" spans="1:1" ht="16.5" x14ac:dyDescent="0.25">
      <c r="A6" s="44" t="s">
        <v>275</v>
      </c>
    </row>
    <row r="7" spans="1:1" x14ac:dyDescent="0.25">
      <c r="A7" s="42"/>
    </row>
    <row r="8" spans="1:1" ht="16.5" x14ac:dyDescent="0.25">
      <c r="A8" s="45" t="s">
        <v>276</v>
      </c>
    </row>
    <row r="9" spans="1:1" ht="16.5" x14ac:dyDescent="0.25">
      <c r="A9" s="45" t="s">
        <v>277</v>
      </c>
    </row>
    <row r="10" spans="1:1" x14ac:dyDescent="0.25">
      <c r="A10" s="42"/>
    </row>
    <row r="11" spans="1:1" ht="21" x14ac:dyDescent="0.25">
      <c r="A11" s="46" t="s">
        <v>278</v>
      </c>
    </row>
    <row r="12" spans="1:1" x14ac:dyDescent="0.25">
      <c r="A12" s="42"/>
    </row>
    <row r="13" spans="1:1" ht="16.5" x14ac:dyDescent="0.25">
      <c r="A13" s="45" t="s">
        <v>279</v>
      </c>
    </row>
    <row r="14" spans="1:1" ht="16.5" x14ac:dyDescent="0.25">
      <c r="A14" s="44" t="s">
        <v>280</v>
      </c>
    </row>
    <row r="15" spans="1:1" x14ac:dyDescent="0.25">
      <c r="A15" s="42"/>
    </row>
    <row r="16" spans="1:1" ht="16.5" x14ac:dyDescent="0.25">
      <c r="A16" s="45" t="s">
        <v>281</v>
      </c>
    </row>
    <row r="17" spans="1:1" ht="16.5" x14ac:dyDescent="0.25">
      <c r="A17" s="44" t="s">
        <v>282</v>
      </c>
    </row>
    <row r="18" spans="1:1" x14ac:dyDescent="0.25">
      <c r="A18" s="42"/>
    </row>
    <row r="19" spans="1:1" ht="16.5" x14ac:dyDescent="0.25">
      <c r="A19" s="45" t="s">
        <v>283</v>
      </c>
    </row>
    <row r="20" spans="1:1" ht="16.5" x14ac:dyDescent="0.25">
      <c r="A20" s="44" t="s">
        <v>284</v>
      </c>
    </row>
    <row r="21" spans="1:1" x14ac:dyDescent="0.25">
      <c r="A21" s="42"/>
    </row>
    <row r="22" spans="1:1" ht="16.5" x14ac:dyDescent="0.25">
      <c r="A22" s="45" t="s">
        <v>285</v>
      </c>
    </row>
    <row r="23" spans="1:1" ht="16.5" x14ac:dyDescent="0.25">
      <c r="A23" s="44" t="s">
        <v>286</v>
      </c>
    </row>
    <row r="24" spans="1:1" x14ac:dyDescent="0.25">
      <c r="A24" s="42"/>
    </row>
    <row r="25" spans="1:1" ht="16.5" x14ac:dyDescent="0.25">
      <c r="A25" s="45" t="s">
        <v>287</v>
      </c>
    </row>
    <row r="26" spans="1:1" ht="16.5" x14ac:dyDescent="0.25">
      <c r="A26" s="44" t="s">
        <v>288</v>
      </c>
    </row>
    <row r="27" spans="1:1" x14ac:dyDescent="0.25">
      <c r="A27" s="42"/>
    </row>
    <row r="28" spans="1:1" ht="16.5" x14ac:dyDescent="0.25">
      <c r="A28" s="45" t="s">
        <v>289</v>
      </c>
    </row>
    <row r="29" spans="1:1" ht="16.5" x14ac:dyDescent="0.25">
      <c r="A29" s="44" t="s">
        <v>290</v>
      </c>
    </row>
    <row r="30" spans="1:1" x14ac:dyDescent="0.25">
      <c r="A30" s="42"/>
    </row>
    <row r="31" spans="1:1" ht="21" x14ac:dyDescent="0.25">
      <c r="A31" s="46" t="s">
        <v>291</v>
      </c>
    </row>
    <row r="32" spans="1:1" x14ac:dyDescent="0.25">
      <c r="A32" s="47"/>
    </row>
    <row r="33" spans="1:1" ht="16.5" x14ac:dyDescent="0.25">
      <c r="A33" s="48" t="s">
        <v>292</v>
      </c>
    </row>
    <row r="34" spans="1:1" ht="16.5" x14ac:dyDescent="0.25">
      <c r="A34" s="48" t="s">
        <v>293</v>
      </c>
    </row>
    <row r="35" spans="1:1" ht="16.5" x14ac:dyDescent="0.25">
      <c r="A35" s="48" t="s">
        <v>294</v>
      </c>
    </row>
    <row r="36" spans="1:1" ht="16.5" x14ac:dyDescent="0.25">
      <c r="A36" s="48" t="s">
        <v>295</v>
      </c>
    </row>
    <row r="37" spans="1:1" ht="16.5" x14ac:dyDescent="0.25">
      <c r="A37" s="45"/>
    </row>
    <row r="38" spans="1:1" ht="16.5" x14ac:dyDescent="0.25">
      <c r="A38" s="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L2"/>
  <sheetViews>
    <sheetView workbookViewId="0">
      <selection activeCell="I30" sqref="I30"/>
    </sheetView>
  </sheetViews>
  <sheetFormatPr defaultRowHeight="15" x14ac:dyDescent="0.25"/>
  <sheetData>
    <row r="1" spans="1:12" x14ac:dyDescent="0.25">
      <c r="A1" s="32" t="s">
        <v>0</v>
      </c>
      <c r="B1" s="32" t="s">
        <v>1</v>
      </c>
      <c r="C1" s="32" t="s">
        <v>2</v>
      </c>
      <c r="D1" s="33" t="s">
        <v>3</v>
      </c>
      <c r="I1" s="32" t="s">
        <v>258</v>
      </c>
      <c r="L1" t="s">
        <v>262</v>
      </c>
    </row>
    <row r="2" spans="1:12" x14ac:dyDescent="0.25">
      <c r="A2" t="s">
        <v>304</v>
      </c>
      <c r="B2">
        <v>24.856971870999999</v>
      </c>
      <c r="C2">
        <v>63.071043269900002</v>
      </c>
      <c r="D2">
        <v>46</v>
      </c>
      <c r="I2" s="33" t="s">
        <v>260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P9"/>
  <sheetViews>
    <sheetView workbookViewId="0">
      <selection activeCell="I9" sqref="I9"/>
    </sheetView>
  </sheetViews>
  <sheetFormatPr defaultRowHeight="15" x14ac:dyDescent="0.25"/>
  <cols>
    <col min="1" max="1" width="15" customWidth="1"/>
    <col min="2" max="2" width="10.28515625" bestFit="1" customWidth="1"/>
  </cols>
  <sheetData>
    <row r="1" spans="1:16" x14ac:dyDescent="0.25">
      <c r="A1" s="32" t="s">
        <v>4</v>
      </c>
      <c r="B1" s="32" t="s">
        <v>5</v>
      </c>
      <c r="C1" s="32" t="s">
        <v>1</v>
      </c>
      <c r="D1" s="32" t="s">
        <v>2</v>
      </c>
      <c r="E1" s="33" t="s">
        <v>6</v>
      </c>
      <c r="F1" s="33" t="s">
        <v>3</v>
      </c>
      <c r="G1" s="33" t="s">
        <v>7</v>
      </c>
      <c r="N1" s="32" t="s">
        <v>258</v>
      </c>
      <c r="P1" t="s">
        <v>261</v>
      </c>
    </row>
    <row r="2" spans="1:16" x14ac:dyDescent="0.25">
      <c r="A2" t="s">
        <v>304</v>
      </c>
      <c r="B2" t="s">
        <v>305</v>
      </c>
      <c r="C2">
        <v>24.8551</v>
      </c>
      <c r="D2">
        <v>63.075499999999998</v>
      </c>
      <c r="N2" s="33" t="s">
        <v>260</v>
      </c>
    </row>
    <row r="3" spans="1:16" x14ac:dyDescent="0.25">
      <c r="A3" t="s">
        <v>304</v>
      </c>
      <c r="B3" t="s">
        <v>306</v>
      </c>
      <c r="C3">
        <v>24.862300000000001</v>
      </c>
      <c r="D3">
        <v>63.0732</v>
      </c>
    </row>
    <row r="4" spans="1:16" x14ac:dyDescent="0.25">
      <c r="A4" t="s">
        <v>304</v>
      </c>
      <c r="B4" t="s">
        <v>307</v>
      </c>
      <c r="C4">
        <v>24.865400000000001</v>
      </c>
      <c r="D4">
        <v>63.067999999999998</v>
      </c>
    </row>
    <row r="5" spans="1:16" x14ac:dyDescent="0.25">
      <c r="A5" t="s">
        <v>304</v>
      </c>
      <c r="B5" t="s">
        <v>308</v>
      </c>
      <c r="C5">
        <v>24.867999999999999</v>
      </c>
      <c r="D5">
        <v>63.063000000000002</v>
      </c>
    </row>
    <row r="6" spans="1:16" x14ac:dyDescent="0.25">
      <c r="A6" t="s">
        <v>304</v>
      </c>
      <c r="B6" t="s">
        <v>309</v>
      </c>
      <c r="C6">
        <v>24.872499999999999</v>
      </c>
      <c r="D6">
        <v>63.057699999999997</v>
      </c>
    </row>
    <row r="7" spans="1:16" x14ac:dyDescent="0.25">
      <c r="A7" t="s">
        <v>304</v>
      </c>
      <c r="B7" t="s">
        <v>310</v>
      </c>
      <c r="C7">
        <v>24.856100000000001</v>
      </c>
      <c r="D7">
        <v>63.081000000000003</v>
      </c>
    </row>
    <row r="8" spans="1:16" x14ac:dyDescent="0.25">
      <c r="A8" t="s">
        <v>304</v>
      </c>
      <c r="B8" t="s">
        <v>311</v>
      </c>
      <c r="C8">
        <v>24.831800000000001</v>
      </c>
      <c r="D8">
        <v>63.070999999999998</v>
      </c>
    </row>
    <row r="9" spans="1:16" x14ac:dyDescent="0.25">
      <c r="A9" t="s">
        <v>304</v>
      </c>
      <c r="B9" t="s">
        <v>312</v>
      </c>
      <c r="C9">
        <v>24.8446</v>
      </c>
      <c r="D9">
        <v>63.079000000000001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M19"/>
  <sheetViews>
    <sheetView tabSelected="1" workbookViewId="0">
      <selection activeCell="C1" sqref="C1"/>
    </sheetView>
  </sheetViews>
  <sheetFormatPr defaultRowHeight="15" x14ac:dyDescent="0.25"/>
  <sheetData>
    <row r="1" spans="1:13" x14ac:dyDescent="0.25">
      <c r="A1" s="32" t="s">
        <v>4</v>
      </c>
      <c r="B1" s="32" t="s">
        <v>8</v>
      </c>
      <c r="C1" s="32" t="s">
        <v>9</v>
      </c>
      <c r="D1" s="32" t="s">
        <v>1</v>
      </c>
      <c r="E1" s="32" t="s">
        <v>2</v>
      </c>
      <c r="K1" s="32" t="s">
        <v>258</v>
      </c>
      <c r="M1" t="s">
        <v>259</v>
      </c>
    </row>
    <row r="2" spans="1:13" x14ac:dyDescent="0.25">
      <c r="A2" t="s">
        <v>304</v>
      </c>
      <c r="B2" t="s">
        <v>10</v>
      </c>
      <c r="C2" t="s">
        <v>313</v>
      </c>
      <c r="D2" s="50">
        <v>24.9</v>
      </c>
      <c r="E2" s="50">
        <v>63</v>
      </c>
      <c r="K2" s="33" t="s">
        <v>260</v>
      </c>
    </row>
    <row r="3" spans="1:13" x14ac:dyDescent="0.25">
      <c r="A3" t="s">
        <v>304</v>
      </c>
      <c r="B3" t="s">
        <v>10</v>
      </c>
      <c r="C3" t="s">
        <v>314</v>
      </c>
      <c r="D3" s="50">
        <v>24.9</v>
      </c>
      <c r="E3" s="50">
        <v>63.3</v>
      </c>
    </row>
    <row r="4" spans="1:13" x14ac:dyDescent="0.25">
      <c r="A4" t="s">
        <v>304</v>
      </c>
      <c r="B4" t="s">
        <v>10</v>
      </c>
      <c r="C4" t="s">
        <v>315</v>
      </c>
      <c r="D4" s="50">
        <v>25.2</v>
      </c>
      <c r="E4" s="50">
        <v>63.3</v>
      </c>
    </row>
    <row r="5" spans="1:13" x14ac:dyDescent="0.25">
      <c r="A5" t="s">
        <v>304</v>
      </c>
      <c r="B5" t="s">
        <v>10</v>
      </c>
      <c r="C5" t="s">
        <v>316</v>
      </c>
      <c r="D5" s="50">
        <v>25.2</v>
      </c>
      <c r="E5" s="50">
        <v>63</v>
      </c>
    </row>
    <row r="6" spans="1:13" x14ac:dyDescent="0.25">
      <c r="A6" t="s">
        <v>304</v>
      </c>
      <c r="B6" t="s">
        <v>10</v>
      </c>
      <c r="C6" t="s">
        <v>317</v>
      </c>
      <c r="D6" s="50">
        <v>25.2</v>
      </c>
      <c r="E6" s="50">
        <v>62.7</v>
      </c>
    </row>
    <row r="7" spans="1:13" x14ac:dyDescent="0.25">
      <c r="A7" t="s">
        <v>304</v>
      </c>
      <c r="B7" t="s">
        <v>10</v>
      </c>
      <c r="C7" t="s">
        <v>318</v>
      </c>
      <c r="D7" s="50">
        <v>24.9</v>
      </c>
      <c r="E7" s="50">
        <v>62.7</v>
      </c>
    </row>
    <row r="8" spans="1:13" x14ac:dyDescent="0.25">
      <c r="A8" t="s">
        <v>304</v>
      </c>
      <c r="B8" t="s">
        <v>10</v>
      </c>
      <c r="C8" t="s">
        <v>319</v>
      </c>
      <c r="D8" s="50">
        <v>24.6</v>
      </c>
      <c r="E8" s="50">
        <v>62.7</v>
      </c>
    </row>
    <row r="9" spans="1:13" x14ac:dyDescent="0.25">
      <c r="A9" t="s">
        <v>304</v>
      </c>
      <c r="B9" t="s">
        <v>10</v>
      </c>
      <c r="C9" t="s">
        <v>320</v>
      </c>
      <c r="D9" s="50">
        <v>24.6</v>
      </c>
      <c r="E9" s="50">
        <v>63</v>
      </c>
    </row>
    <row r="10" spans="1:13" x14ac:dyDescent="0.25">
      <c r="A10" t="s">
        <v>304</v>
      </c>
      <c r="B10" t="s">
        <v>10</v>
      </c>
      <c r="C10" t="s">
        <v>321</v>
      </c>
      <c r="D10" s="50">
        <v>24.6</v>
      </c>
      <c r="E10" s="50">
        <v>63.3</v>
      </c>
    </row>
    <row r="11" spans="1:13" x14ac:dyDescent="0.25">
      <c r="A11" t="s">
        <v>304</v>
      </c>
      <c r="B11" t="s">
        <v>11</v>
      </c>
      <c r="C11" t="s">
        <v>313</v>
      </c>
      <c r="D11" s="50">
        <v>25</v>
      </c>
      <c r="E11" s="50">
        <v>63</v>
      </c>
    </row>
    <row r="12" spans="1:13" x14ac:dyDescent="0.25">
      <c r="A12" t="s">
        <v>304</v>
      </c>
      <c r="B12" t="s">
        <v>11</v>
      </c>
      <c r="C12" t="s">
        <v>314</v>
      </c>
      <c r="D12" s="50">
        <v>25</v>
      </c>
      <c r="E12" s="50">
        <v>63.5</v>
      </c>
    </row>
    <row r="13" spans="1:13" x14ac:dyDescent="0.25">
      <c r="A13" t="s">
        <v>304</v>
      </c>
      <c r="B13" t="s">
        <v>11</v>
      </c>
      <c r="C13" t="s">
        <v>315</v>
      </c>
      <c r="D13" s="50">
        <v>25.62</v>
      </c>
      <c r="E13" s="50">
        <v>63.5</v>
      </c>
    </row>
    <row r="14" spans="1:13" x14ac:dyDescent="0.25">
      <c r="A14" t="s">
        <v>304</v>
      </c>
      <c r="B14" t="s">
        <v>11</v>
      </c>
      <c r="C14" t="s">
        <v>316</v>
      </c>
      <c r="D14" s="50">
        <v>25.62</v>
      </c>
      <c r="E14" s="50">
        <v>63</v>
      </c>
    </row>
    <row r="15" spans="1:13" x14ac:dyDescent="0.25">
      <c r="A15" t="s">
        <v>304</v>
      </c>
      <c r="B15" t="s">
        <v>11</v>
      </c>
      <c r="C15" t="s">
        <v>317</v>
      </c>
      <c r="D15" s="50">
        <v>25.62</v>
      </c>
      <c r="E15" s="50">
        <v>62.5</v>
      </c>
    </row>
    <row r="16" spans="1:13" x14ac:dyDescent="0.25">
      <c r="A16" t="s">
        <v>304</v>
      </c>
      <c r="B16" t="s">
        <v>11</v>
      </c>
      <c r="C16" t="s">
        <v>318</v>
      </c>
      <c r="D16" s="50">
        <v>25</v>
      </c>
      <c r="E16" s="50">
        <v>62.5</v>
      </c>
    </row>
    <row r="17" spans="1:5" x14ac:dyDescent="0.25">
      <c r="A17" t="s">
        <v>304</v>
      </c>
      <c r="B17" t="s">
        <v>11</v>
      </c>
      <c r="C17" t="s">
        <v>319</v>
      </c>
      <c r="D17" s="50">
        <v>24.38</v>
      </c>
      <c r="E17" s="50">
        <v>62.5</v>
      </c>
    </row>
    <row r="18" spans="1:5" x14ac:dyDescent="0.25">
      <c r="A18" t="s">
        <v>304</v>
      </c>
      <c r="B18" t="s">
        <v>11</v>
      </c>
      <c r="C18" t="s">
        <v>320</v>
      </c>
      <c r="D18" s="50">
        <v>24.38</v>
      </c>
      <c r="E18" s="50">
        <v>63</v>
      </c>
    </row>
    <row r="19" spans="1:5" x14ac:dyDescent="0.25">
      <c r="A19" t="s">
        <v>304</v>
      </c>
      <c r="B19" t="s">
        <v>11</v>
      </c>
      <c r="C19" t="s">
        <v>321</v>
      </c>
      <c r="D19" s="50">
        <v>24.38</v>
      </c>
      <c r="E19" s="50">
        <v>63.5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G50"/>
  <sheetViews>
    <sheetView zoomScaleNormal="100" workbookViewId="0">
      <selection activeCell="C52" sqref="C52"/>
    </sheetView>
  </sheetViews>
  <sheetFormatPr defaultRowHeight="15" x14ac:dyDescent="0.25"/>
  <cols>
    <col min="1" max="1" width="18.140625" bestFit="1" customWidth="1"/>
    <col min="2" max="2" width="49.5703125" bestFit="1" customWidth="1"/>
    <col min="3" max="3" width="34.28515625" bestFit="1" customWidth="1"/>
    <col min="4" max="4" width="155.28515625" customWidth="1"/>
  </cols>
  <sheetData>
    <row r="1" spans="1:7" x14ac:dyDescent="0.25">
      <c r="A1" s="34" t="s">
        <v>12</v>
      </c>
      <c r="B1" s="34" t="s">
        <v>13</v>
      </c>
      <c r="C1" s="34" t="s">
        <v>14</v>
      </c>
      <c r="D1" s="34" t="s">
        <v>15</v>
      </c>
    </row>
    <row r="2" spans="1:7" x14ac:dyDescent="0.25">
      <c r="A2" s="35" t="s">
        <v>56</v>
      </c>
      <c r="B2" s="35" t="s">
        <v>57</v>
      </c>
      <c r="C2" s="37" t="b">
        <v>1</v>
      </c>
      <c r="D2" s="36" t="s">
        <v>266</v>
      </c>
    </row>
    <row r="3" spans="1:7" x14ac:dyDescent="0.25">
      <c r="A3" s="35" t="s">
        <v>58</v>
      </c>
      <c r="B3" s="35" t="s">
        <v>57</v>
      </c>
      <c r="C3" s="37" t="b">
        <v>1</v>
      </c>
      <c r="D3" s="36" t="s">
        <v>267</v>
      </c>
    </row>
    <row r="4" spans="1:7" x14ac:dyDescent="0.25">
      <c r="A4" s="35" t="s">
        <v>59</v>
      </c>
      <c r="B4" s="35" t="s">
        <v>57</v>
      </c>
      <c r="C4" s="37" t="b">
        <v>1</v>
      </c>
      <c r="D4" s="36" t="s">
        <v>268</v>
      </c>
    </row>
    <row r="5" spans="1:7" x14ac:dyDescent="0.25">
      <c r="A5" s="38"/>
      <c r="B5" s="38"/>
      <c r="C5" s="39"/>
      <c r="D5" s="40"/>
    </row>
    <row r="6" spans="1:7" x14ac:dyDescent="0.25">
      <c r="A6" s="35"/>
      <c r="B6" s="35" t="s">
        <v>20</v>
      </c>
      <c r="C6" s="37" t="s">
        <v>296</v>
      </c>
      <c r="D6" s="36" t="s">
        <v>21</v>
      </c>
    </row>
    <row r="7" spans="1:7" x14ac:dyDescent="0.25">
      <c r="A7" s="35"/>
      <c r="B7" s="35" t="s">
        <v>22</v>
      </c>
      <c r="C7" s="37" t="s">
        <v>23</v>
      </c>
      <c r="D7" s="36" t="s">
        <v>24</v>
      </c>
    </row>
    <row r="8" spans="1:7" x14ac:dyDescent="0.25">
      <c r="A8" s="35"/>
      <c r="B8" s="35" t="s">
        <v>25</v>
      </c>
      <c r="C8" s="37"/>
      <c r="D8" s="36" t="s">
        <v>26</v>
      </c>
    </row>
    <row r="9" spans="1:7" x14ac:dyDescent="0.25">
      <c r="A9" s="35"/>
      <c r="B9" s="35" t="s">
        <v>53</v>
      </c>
      <c r="C9" s="37" t="b">
        <v>1</v>
      </c>
      <c r="D9" s="36" t="s">
        <v>264</v>
      </c>
    </row>
    <row r="10" spans="1:7" s="41" customFormat="1" x14ac:dyDescent="0.25">
      <c r="A10" s="38"/>
      <c r="B10" s="38"/>
      <c r="C10" s="39"/>
      <c r="D10" s="40"/>
    </row>
    <row r="11" spans="1:7" x14ac:dyDescent="0.25">
      <c r="A11" s="35" t="s">
        <v>56</v>
      </c>
      <c r="B11" s="35" t="s">
        <v>60</v>
      </c>
      <c r="C11" s="37" t="s">
        <v>61</v>
      </c>
      <c r="D11" s="36" t="s">
        <v>62</v>
      </c>
    </row>
    <row r="12" spans="1:7" x14ac:dyDescent="0.25">
      <c r="A12" s="35" t="s">
        <v>56</v>
      </c>
      <c r="B12" s="35" t="s">
        <v>106</v>
      </c>
      <c r="C12" s="37">
        <v>0.6</v>
      </c>
      <c r="D12" s="35" t="s">
        <v>270</v>
      </c>
    </row>
    <row r="13" spans="1:7" x14ac:dyDescent="0.25">
      <c r="A13" s="35" t="s">
        <v>56</v>
      </c>
      <c r="B13" s="35" t="s">
        <v>301</v>
      </c>
      <c r="C13" s="37">
        <v>2500</v>
      </c>
      <c r="D13" s="35" t="s">
        <v>273</v>
      </c>
      <c r="E13" s="35" t="s">
        <v>56</v>
      </c>
      <c r="F13" s="35" t="s">
        <v>155</v>
      </c>
      <c r="G13" s="37">
        <v>150</v>
      </c>
    </row>
    <row r="14" spans="1:7" ht="30" x14ac:dyDescent="0.25">
      <c r="A14" s="35" t="s">
        <v>56</v>
      </c>
      <c r="B14" s="35" t="s">
        <v>63</v>
      </c>
      <c r="C14" s="37" t="s">
        <v>64</v>
      </c>
      <c r="D14" s="36" t="s">
        <v>65</v>
      </c>
    </row>
    <row r="15" spans="1:7" x14ac:dyDescent="0.25">
      <c r="A15" s="35" t="s">
        <v>56</v>
      </c>
      <c r="B15" s="35" t="s">
        <v>66</v>
      </c>
      <c r="C15" s="37" t="s">
        <v>67</v>
      </c>
      <c r="D15" s="36" t="s">
        <v>68</v>
      </c>
    </row>
    <row r="16" spans="1:7" ht="30" x14ac:dyDescent="0.25">
      <c r="A16" s="35" t="s">
        <v>56</v>
      </c>
      <c r="B16" s="35" t="s">
        <v>69</v>
      </c>
      <c r="C16" s="37"/>
      <c r="D16" s="36" t="s">
        <v>271</v>
      </c>
    </row>
    <row r="17" spans="1:4" x14ac:dyDescent="0.25">
      <c r="A17" s="35" t="s">
        <v>56</v>
      </c>
      <c r="B17" s="35" t="s">
        <v>297</v>
      </c>
      <c r="C17" s="37">
        <v>80</v>
      </c>
      <c r="D17" s="36" t="s">
        <v>78</v>
      </c>
    </row>
    <row r="18" spans="1:4" s="49" customFormat="1" x14ac:dyDescent="0.25">
      <c r="A18" s="35" t="s">
        <v>56</v>
      </c>
      <c r="B18" s="35" t="s">
        <v>298</v>
      </c>
      <c r="C18" s="37">
        <v>14</v>
      </c>
      <c r="D18" s="36" t="s">
        <v>300</v>
      </c>
    </row>
    <row r="19" spans="1:4" s="49" customFormat="1" x14ac:dyDescent="0.25">
      <c r="A19" s="35" t="s">
        <v>56</v>
      </c>
      <c r="B19" s="35" t="s">
        <v>322</v>
      </c>
      <c r="C19" s="37" t="str">
        <f>wind_farms!A2</f>
        <v>Kyyjärvi</v>
      </c>
      <c r="D19" s="36" t="s">
        <v>323</v>
      </c>
    </row>
    <row r="20" spans="1:4" x14ac:dyDescent="0.25">
      <c r="A20" s="35" t="s">
        <v>56</v>
      </c>
      <c r="B20" s="35" t="s">
        <v>42</v>
      </c>
      <c r="C20" s="37" t="b">
        <v>1</v>
      </c>
      <c r="D20" s="36" t="s">
        <v>43</v>
      </c>
    </row>
    <row r="21" spans="1:4" ht="30" x14ac:dyDescent="0.25">
      <c r="A21" s="35" t="s">
        <v>56</v>
      </c>
      <c r="B21" s="35" t="s">
        <v>35</v>
      </c>
      <c r="C21" s="37" t="s">
        <v>36</v>
      </c>
      <c r="D21" s="36" t="s">
        <v>269</v>
      </c>
    </row>
    <row r="22" spans="1:4" s="41" customFormat="1" x14ac:dyDescent="0.25">
      <c r="A22" s="38"/>
      <c r="B22" s="38"/>
      <c r="C22" s="39"/>
      <c r="D22" s="40"/>
    </row>
    <row r="23" spans="1:4" x14ac:dyDescent="0.25">
      <c r="A23" s="35" t="s">
        <v>58</v>
      </c>
      <c r="B23" s="35" t="s">
        <v>60</v>
      </c>
      <c r="C23" s="37" t="s">
        <v>74</v>
      </c>
      <c r="D23" s="36" t="s">
        <v>75</v>
      </c>
    </row>
    <row r="24" spans="1:4" x14ac:dyDescent="0.25">
      <c r="A24" s="35" t="s">
        <v>58</v>
      </c>
      <c r="B24" s="35" t="s">
        <v>66</v>
      </c>
      <c r="C24" s="37" t="s">
        <v>67</v>
      </c>
      <c r="D24" s="36" t="s">
        <v>76</v>
      </c>
    </row>
    <row r="25" spans="1:4" s="49" customFormat="1" x14ac:dyDescent="0.25">
      <c r="A25" s="35" t="s">
        <v>58</v>
      </c>
      <c r="B25" s="35" t="s">
        <v>77</v>
      </c>
      <c r="C25" s="37">
        <v>80</v>
      </c>
      <c r="D25" s="36" t="s">
        <v>78</v>
      </c>
    </row>
    <row r="26" spans="1:4" s="49" customFormat="1" x14ac:dyDescent="0.25">
      <c r="A26" s="35" t="s">
        <v>58</v>
      </c>
      <c r="B26" s="35" t="s">
        <v>298</v>
      </c>
      <c r="C26" s="37">
        <v>14</v>
      </c>
      <c r="D26" s="36" t="s">
        <v>300</v>
      </c>
    </row>
    <row r="27" spans="1:4" x14ac:dyDescent="0.25">
      <c r="A27" s="35" t="s">
        <v>58</v>
      </c>
      <c r="B27" s="35" t="s">
        <v>70</v>
      </c>
      <c r="C27" s="37" t="b">
        <v>1</v>
      </c>
      <c r="D27" s="36" t="s">
        <v>79</v>
      </c>
    </row>
    <row r="28" spans="1:4" x14ac:dyDescent="0.25">
      <c r="A28" s="35" t="s">
        <v>58</v>
      </c>
      <c r="B28" s="35" t="s">
        <v>106</v>
      </c>
      <c r="C28" s="37">
        <v>0.6</v>
      </c>
      <c r="D28" s="35" t="s">
        <v>270</v>
      </c>
    </row>
    <row r="29" spans="1:4" x14ac:dyDescent="0.25">
      <c r="A29" s="35" t="s">
        <v>58</v>
      </c>
      <c r="B29" s="35" t="s">
        <v>155</v>
      </c>
      <c r="C29" s="37">
        <v>40</v>
      </c>
      <c r="D29" s="35" t="s">
        <v>273</v>
      </c>
    </row>
    <row r="30" spans="1:4" ht="30" x14ac:dyDescent="0.25">
      <c r="A30" s="35" t="s">
        <v>58</v>
      </c>
      <c r="B30" s="35" t="s">
        <v>81</v>
      </c>
      <c r="C30" s="37"/>
      <c r="D30" s="36" t="s">
        <v>272</v>
      </c>
    </row>
    <row r="31" spans="1:4" ht="30" x14ac:dyDescent="0.25">
      <c r="A31" s="35" t="s">
        <v>58</v>
      </c>
      <c r="B31" s="35" t="s">
        <v>35</v>
      </c>
      <c r="C31" s="37" t="s">
        <v>36</v>
      </c>
      <c r="D31" s="36" t="s">
        <v>269</v>
      </c>
    </row>
    <row r="32" spans="1:4" x14ac:dyDescent="0.25">
      <c r="A32" s="35" t="s">
        <v>58</v>
      </c>
      <c r="B32" s="35" t="s">
        <v>42</v>
      </c>
      <c r="C32" s="37" t="b">
        <v>1</v>
      </c>
      <c r="D32" s="36" t="s">
        <v>43</v>
      </c>
    </row>
    <row r="33" spans="1:4" x14ac:dyDescent="0.25">
      <c r="A33" s="35" t="s">
        <v>58</v>
      </c>
      <c r="B33" s="35" t="s">
        <v>53</v>
      </c>
      <c r="C33" s="37" t="b">
        <v>0</v>
      </c>
      <c r="D33" s="35" t="s">
        <v>299</v>
      </c>
    </row>
    <row r="34" spans="1:4" s="41" customFormat="1" x14ac:dyDescent="0.25">
      <c r="A34" s="38"/>
      <c r="B34" s="38"/>
      <c r="C34" s="39"/>
      <c r="D34" s="40"/>
    </row>
    <row r="35" spans="1:4" x14ac:dyDescent="0.25">
      <c r="A35" s="35" t="s">
        <v>59</v>
      </c>
      <c r="B35" s="35" t="s">
        <v>60</v>
      </c>
      <c r="C35" s="37" t="s">
        <v>82</v>
      </c>
      <c r="D35" s="36" t="s">
        <v>83</v>
      </c>
    </row>
    <row r="36" spans="1:4" x14ac:dyDescent="0.25">
      <c r="A36" s="35" t="s">
        <v>59</v>
      </c>
      <c r="B36" s="35" t="s">
        <v>66</v>
      </c>
      <c r="C36" s="37" t="s">
        <v>84</v>
      </c>
      <c r="D36" s="36" t="s">
        <v>85</v>
      </c>
    </row>
    <row r="37" spans="1:4" x14ac:dyDescent="0.25">
      <c r="A37" s="35" t="s">
        <v>59</v>
      </c>
      <c r="B37" s="35" t="s">
        <v>86</v>
      </c>
      <c r="C37" s="37" t="s">
        <v>84</v>
      </c>
      <c r="D37" s="36" t="s">
        <v>87</v>
      </c>
    </row>
    <row r="38" spans="1:4" x14ac:dyDescent="0.25">
      <c r="A38" s="35" t="s">
        <v>59</v>
      </c>
      <c r="B38" s="35" t="s">
        <v>88</v>
      </c>
      <c r="C38" s="37" t="s">
        <v>67</v>
      </c>
      <c r="D38" s="36" t="s">
        <v>87</v>
      </c>
    </row>
    <row r="39" spans="1:4" x14ac:dyDescent="0.25">
      <c r="A39" s="35" t="s">
        <v>59</v>
      </c>
      <c r="B39" s="35" t="s">
        <v>89</v>
      </c>
      <c r="C39" s="37" t="s">
        <v>90</v>
      </c>
      <c r="D39" s="36" t="s">
        <v>91</v>
      </c>
    </row>
    <row r="40" spans="1:4" x14ac:dyDescent="0.25">
      <c r="A40" s="35" t="s">
        <v>59</v>
      </c>
      <c r="B40" s="35" t="s">
        <v>92</v>
      </c>
      <c r="C40" s="37" t="s">
        <v>93</v>
      </c>
      <c r="D40" s="36" t="s">
        <v>94</v>
      </c>
    </row>
    <row r="41" spans="1:4" x14ac:dyDescent="0.25">
      <c r="A41" s="35" t="s">
        <v>59</v>
      </c>
      <c r="B41" s="35" t="s">
        <v>190</v>
      </c>
      <c r="C41" s="37" t="s">
        <v>67</v>
      </c>
      <c r="D41" s="35" t="s">
        <v>191</v>
      </c>
    </row>
    <row r="42" spans="1:4" x14ac:dyDescent="0.25">
      <c r="A42" s="35" t="s">
        <v>59</v>
      </c>
      <c r="B42" s="35" t="s">
        <v>192</v>
      </c>
      <c r="C42" s="37" t="s">
        <v>193</v>
      </c>
      <c r="D42" s="35" t="s">
        <v>194</v>
      </c>
    </row>
    <row r="43" spans="1:4" x14ac:dyDescent="0.25">
      <c r="A43" s="35" t="s">
        <v>59</v>
      </c>
      <c r="B43" s="35" t="s">
        <v>195</v>
      </c>
      <c r="C43" s="37">
        <v>70</v>
      </c>
      <c r="D43" s="35" t="s">
        <v>196</v>
      </c>
    </row>
    <row r="44" spans="1:4" x14ac:dyDescent="0.25">
      <c r="A44" s="35" t="s">
        <v>59</v>
      </c>
      <c r="B44" s="35" t="s">
        <v>77</v>
      </c>
      <c r="C44" s="37">
        <v>80</v>
      </c>
      <c r="D44" s="36" t="s">
        <v>95</v>
      </c>
    </row>
    <row r="45" spans="1:4" s="49" customFormat="1" x14ac:dyDescent="0.25">
      <c r="A45" s="35" t="s">
        <v>59</v>
      </c>
      <c r="B45" s="35" t="s">
        <v>298</v>
      </c>
      <c r="C45" s="37">
        <v>14</v>
      </c>
      <c r="D45" s="36" t="s">
        <v>300</v>
      </c>
    </row>
    <row r="46" spans="1:4" x14ac:dyDescent="0.25">
      <c r="A46" s="35" t="s">
        <v>59</v>
      </c>
      <c r="B46" s="35" t="s">
        <v>106</v>
      </c>
      <c r="C46" s="37">
        <v>0.9</v>
      </c>
      <c r="D46" s="35" t="s">
        <v>270</v>
      </c>
    </row>
    <row r="47" spans="1:4" x14ac:dyDescent="0.25">
      <c r="A47" s="35" t="s">
        <v>59</v>
      </c>
      <c r="B47" s="35" t="s">
        <v>155</v>
      </c>
      <c r="C47" s="37">
        <v>40</v>
      </c>
      <c r="D47" s="35" t="s">
        <v>273</v>
      </c>
    </row>
    <row r="48" spans="1:4" ht="30" x14ac:dyDescent="0.25">
      <c r="A48" s="35" t="s">
        <v>59</v>
      </c>
      <c r="B48" s="35" t="s">
        <v>35</v>
      </c>
      <c r="C48" s="37" t="s">
        <v>36</v>
      </c>
      <c r="D48" s="36" t="s">
        <v>269</v>
      </c>
    </row>
    <row r="49" spans="1:4" x14ac:dyDescent="0.25">
      <c r="A49" s="35" t="s">
        <v>59</v>
      </c>
      <c r="B49" s="35" t="s">
        <v>53</v>
      </c>
      <c r="C49" s="37" t="b">
        <v>0</v>
      </c>
      <c r="D49" s="35" t="s">
        <v>299</v>
      </c>
    </row>
    <row r="50" spans="1:4" x14ac:dyDescent="0.25">
      <c r="A50" s="35" t="s">
        <v>59</v>
      </c>
      <c r="B50" s="35" t="s">
        <v>42</v>
      </c>
      <c r="C50" s="37" t="b">
        <v>1</v>
      </c>
      <c r="D50" s="36" t="s">
        <v>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E66"/>
  <sheetViews>
    <sheetView workbookViewId="0">
      <selection activeCell="C19" sqref="C19"/>
    </sheetView>
  </sheetViews>
  <sheetFormatPr defaultRowHeight="15" x14ac:dyDescent="0.25"/>
  <cols>
    <col min="1" max="1" width="18.140625" bestFit="1" customWidth="1"/>
    <col min="2" max="2" width="29.140625" bestFit="1" customWidth="1"/>
    <col min="3" max="3" width="51.140625" bestFit="1" customWidth="1"/>
    <col min="4" max="4" width="255.7109375" bestFit="1" customWidth="1"/>
  </cols>
  <sheetData>
    <row r="1" spans="1:4" x14ac:dyDescent="0.25">
      <c r="A1" s="34" t="s">
        <v>12</v>
      </c>
      <c r="B1" s="34" t="s">
        <v>13</v>
      </c>
      <c r="C1" s="34" t="s">
        <v>14</v>
      </c>
      <c r="D1" s="34" t="s">
        <v>15</v>
      </c>
    </row>
    <row r="2" spans="1:4" x14ac:dyDescent="0.25">
      <c r="A2" s="35"/>
      <c r="B2" s="35" t="s">
        <v>16</v>
      </c>
      <c r="C2" s="37"/>
      <c r="D2" s="36" t="s">
        <v>17</v>
      </c>
    </row>
    <row r="3" spans="1:4" x14ac:dyDescent="0.25">
      <c r="A3" s="35"/>
      <c r="B3" s="35" t="s">
        <v>18</v>
      </c>
      <c r="C3" s="37"/>
      <c r="D3" s="36" t="s">
        <v>19</v>
      </c>
    </row>
    <row r="4" spans="1:4" x14ac:dyDescent="0.25">
      <c r="A4" s="35"/>
      <c r="B4" s="35" t="s">
        <v>99</v>
      </c>
      <c r="C4" s="37" t="s">
        <v>265</v>
      </c>
      <c r="D4" s="35" t="s">
        <v>100</v>
      </c>
    </row>
    <row r="5" spans="1:4" x14ac:dyDescent="0.25">
      <c r="A5" s="35"/>
      <c r="B5" s="35" t="s">
        <v>27</v>
      </c>
      <c r="C5" s="37" t="s">
        <v>28</v>
      </c>
      <c r="D5" s="36" t="s">
        <v>29</v>
      </c>
    </row>
    <row r="6" spans="1:4" x14ac:dyDescent="0.25">
      <c r="A6" s="35"/>
      <c r="B6" s="35" t="s">
        <v>113</v>
      </c>
      <c r="C6" s="37">
        <v>1</v>
      </c>
      <c r="D6" s="35" t="s">
        <v>114</v>
      </c>
    </row>
    <row r="7" spans="1:4" x14ac:dyDescent="0.25">
      <c r="A7" s="35"/>
      <c r="B7" s="35" t="s">
        <v>115</v>
      </c>
      <c r="C7" s="37" t="s">
        <v>263</v>
      </c>
      <c r="D7" s="35" t="s">
        <v>116</v>
      </c>
    </row>
    <row r="8" spans="1:4" x14ac:dyDescent="0.25">
      <c r="A8" s="35"/>
      <c r="B8" s="35" t="s">
        <v>119</v>
      </c>
      <c r="C8" s="37" t="s">
        <v>120</v>
      </c>
      <c r="D8" s="35" t="s">
        <v>121</v>
      </c>
    </row>
    <row r="9" spans="1:4" ht="30" x14ac:dyDescent="0.25">
      <c r="A9" s="35"/>
      <c r="B9" s="35" t="s">
        <v>39</v>
      </c>
      <c r="C9" s="37" t="s">
        <v>40</v>
      </c>
      <c r="D9" s="36" t="s">
        <v>41</v>
      </c>
    </row>
    <row r="10" spans="1:4" x14ac:dyDescent="0.25">
      <c r="A10" s="35"/>
      <c r="B10" s="35" t="s">
        <v>37</v>
      </c>
      <c r="C10" s="37" t="b">
        <v>1</v>
      </c>
      <c r="D10" s="36" t="s">
        <v>38</v>
      </c>
    </row>
    <row r="11" spans="1:4" x14ac:dyDescent="0.25">
      <c r="A11" s="35"/>
      <c r="B11" s="35" t="s">
        <v>117</v>
      </c>
      <c r="C11" s="37">
        <v>15</v>
      </c>
      <c r="D11" s="35" t="s">
        <v>118</v>
      </c>
    </row>
    <row r="12" spans="1:4" x14ac:dyDescent="0.25">
      <c r="A12" s="35"/>
      <c r="B12" s="35" t="s">
        <v>109</v>
      </c>
      <c r="C12" s="37" t="s">
        <v>23</v>
      </c>
      <c r="D12" s="35" t="s">
        <v>110</v>
      </c>
    </row>
    <row r="13" spans="1:4" x14ac:dyDescent="0.25">
      <c r="A13" s="35"/>
      <c r="B13" s="35" t="s">
        <v>111</v>
      </c>
      <c r="C13" s="37">
        <v>1</v>
      </c>
      <c r="D13" s="35" t="s">
        <v>112</v>
      </c>
    </row>
    <row r="14" spans="1:4" x14ac:dyDescent="0.25">
      <c r="A14" s="35"/>
      <c r="B14" s="35" t="s">
        <v>33</v>
      </c>
      <c r="C14" s="37">
        <v>3</v>
      </c>
      <c r="D14" s="36" t="s">
        <v>34</v>
      </c>
    </row>
    <row r="15" spans="1:4" x14ac:dyDescent="0.25">
      <c r="A15" s="35"/>
      <c r="B15" s="35" t="s">
        <v>30</v>
      </c>
      <c r="C15" s="37" t="s">
        <v>31</v>
      </c>
      <c r="D15" s="36" t="s">
        <v>32</v>
      </c>
    </row>
    <row r="16" spans="1:4" x14ac:dyDescent="0.25">
      <c r="A16" s="35"/>
      <c r="B16" s="35" t="s">
        <v>180</v>
      </c>
      <c r="C16" s="37"/>
      <c r="D16" s="35" t="s">
        <v>181</v>
      </c>
    </row>
    <row r="17" spans="1:5" x14ac:dyDescent="0.25">
      <c r="A17" s="35"/>
      <c r="B17" s="35" t="s">
        <v>178</v>
      </c>
      <c r="C17" s="37"/>
      <c r="D17" s="35" t="s">
        <v>179</v>
      </c>
    </row>
    <row r="18" spans="1:5" x14ac:dyDescent="0.25">
      <c r="A18" s="35"/>
      <c r="B18" s="35" t="s">
        <v>173</v>
      </c>
      <c r="C18" s="37" t="s">
        <v>174</v>
      </c>
      <c r="D18" s="35" t="s">
        <v>175</v>
      </c>
    </row>
    <row r="19" spans="1:5" x14ac:dyDescent="0.25">
      <c r="A19" s="35"/>
      <c r="B19" s="35" t="s">
        <v>176</v>
      </c>
      <c r="C19" s="37" t="b">
        <v>0</v>
      </c>
      <c r="D19" s="35" t="s">
        <v>177</v>
      </c>
    </row>
    <row r="20" spans="1:5" x14ac:dyDescent="0.25">
      <c r="A20" s="35"/>
      <c r="B20" s="35" t="s">
        <v>166</v>
      </c>
      <c r="C20" s="37" t="s">
        <v>302</v>
      </c>
      <c r="D20" s="35" t="s">
        <v>167</v>
      </c>
      <c r="E20" t="s">
        <v>303</v>
      </c>
    </row>
    <row r="21" spans="1:5" x14ac:dyDescent="0.25">
      <c r="A21" s="35"/>
      <c r="B21" s="35" t="s">
        <v>168</v>
      </c>
      <c r="C21" s="37">
        <v>12</v>
      </c>
      <c r="D21" s="35" t="s">
        <v>169</v>
      </c>
    </row>
    <row r="22" spans="1:5" x14ac:dyDescent="0.25">
      <c r="A22" s="35"/>
      <c r="B22" s="35" t="s">
        <v>164</v>
      </c>
      <c r="C22" s="37">
        <v>0.1</v>
      </c>
      <c r="D22" s="35" t="s">
        <v>165</v>
      </c>
    </row>
    <row r="23" spans="1:5" x14ac:dyDescent="0.25">
      <c r="A23" s="35"/>
      <c r="B23" s="35" t="s">
        <v>54</v>
      </c>
      <c r="C23" s="37" t="b">
        <v>1</v>
      </c>
      <c r="D23" s="36" t="s">
        <v>55</v>
      </c>
    </row>
    <row r="24" spans="1:5" x14ac:dyDescent="0.25">
      <c r="A24" s="35"/>
      <c r="B24" s="35" t="s">
        <v>170</v>
      </c>
      <c r="C24" s="37" t="s">
        <v>171</v>
      </c>
      <c r="D24" s="35" t="s">
        <v>172</v>
      </c>
    </row>
    <row r="25" spans="1:5" x14ac:dyDescent="0.25">
      <c r="A25" s="35"/>
      <c r="B25" s="35" t="s">
        <v>135</v>
      </c>
      <c r="C25" s="37" t="s">
        <v>136</v>
      </c>
      <c r="D25" s="35" t="s">
        <v>137</v>
      </c>
    </row>
    <row r="26" spans="1:5" x14ac:dyDescent="0.25">
      <c r="A26" s="35"/>
      <c r="B26" s="35" t="s">
        <v>133</v>
      </c>
      <c r="C26" s="37">
        <v>10</v>
      </c>
      <c r="D26" s="35" t="s">
        <v>134</v>
      </c>
    </row>
    <row r="27" spans="1:5" x14ac:dyDescent="0.25">
      <c r="A27" s="35"/>
      <c r="B27" s="35" t="s">
        <v>128</v>
      </c>
      <c r="C27" s="37" t="s">
        <v>129</v>
      </c>
      <c r="D27" s="35" t="s">
        <v>130</v>
      </c>
    </row>
    <row r="28" spans="1:5" x14ac:dyDescent="0.25">
      <c r="A28" s="35"/>
      <c r="B28" s="35" t="s">
        <v>140</v>
      </c>
      <c r="C28" s="37" t="b">
        <v>1</v>
      </c>
      <c r="D28" s="35" t="s">
        <v>141</v>
      </c>
    </row>
    <row r="29" spans="1:5" x14ac:dyDescent="0.25">
      <c r="A29" s="35"/>
      <c r="B29" s="35" t="s">
        <v>131</v>
      </c>
      <c r="C29" s="37" t="b">
        <v>0</v>
      </c>
      <c r="D29" s="35" t="s">
        <v>132</v>
      </c>
    </row>
    <row r="30" spans="1:5" x14ac:dyDescent="0.25">
      <c r="A30" s="35"/>
      <c r="B30" s="35" t="s">
        <v>138</v>
      </c>
      <c r="C30" s="37">
        <v>0.6</v>
      </c>
      <c r="D30" s="35" t="s">
        <v>139</v>
      </c>
    </row>
    <row r="31" spans="1:5" x14ac:dyDescent="0.25">
      <c r="A31" s="35"/>
      <c r="B31" s="35" t="s">
        <v>122</v>
      </c>
      <c r="C31" s="37">
        <v>5</v>
      </c>
      <c r="D31" s="35" t="s">
        <v>123</v>
      </c>
    </row>
    <row r="32" spans="1:5" x14ac:dyDescent="0.25">
      <c r="A32" s="35"/>
      <c r="B32" s="35" t="s">
        <v>124</v>
      </c>
      <c r="C32" s="37"/>
      <c r="D32" s="35" t="s">
        <v>125</v>
      </c>
    </row>
    <row r="33" spans="1:4" x14ac:dyDescent="0.25">
      <c r="A33" s="35"/>
      <c r="B33" s="35" t="s">
        <v>126</v>
      </c>
      <c r="C33" s="37"/>
      <c r="D33" s="35" t="s">
        <v>127</v>
      </c>
    </row>
    <row r="34" spans="1:4" x14ac:dyDescent="0.25">
      <c r="A34" s="35"/>
      <c r="B34" s="35" t="s">
        <v>157</v>
      </c>
      <c r="C34" s="37" t="s">
        <v>158</v>
      </c>
      <c r="D34" s="35" t="s">
        <v>159</v>
      </c>
    </row>
    <row r="35" spans="1:4" x14ac:dyDescent="0.25">
      <c r="A35" s="35"/>
      <c r="B35" s="35" t="s">
        <v>160</v>
      </c>
      <c r="C35" s="37">
        <v>2.2000000000000002</v>
      </c>
      <c r="D35" s="35" t="s">
        <v>161</v>
      </c>
    </row>
    <row r="36" spans="1:4" x14ac:dyDescent="0.25">
      <c r="A36" s="35"/>
      <c r="B36" s="35" t="s">
        <v>63</v>
      </c>
      <c r="C36" s="37" t="s">
        <v>151</v>
      </c>
      <c r="D36" s="35" t="s">
        <v>152</v>
      </c>
    </row>
    <row r="37" spans="1:4" x14ac:dyDescent="0.25">
      <c r="A37" s="35"/>
      <c r="B37" s="35" t="s">
        <v>162</v>
      </c>
      <c r="C37" s="37">
        <v>0.05</v>
      </c>
      <c r="D37" s="35" t="s">
        <v>163</v>
      </c>
    </row>
    <row r="38" spans="1:4" x14ac:dyDescent="0.25">
      <c r="A38" s="35"/>
      <c r="B38" s="35" t="s">
        <v>153</v>
      </c>
      <c r="C38" s="37">
        <v>0.28000000000000003</v>
      </c>
      <c r="D38" s="35" t="s">
        <v>154</v>
      </c>
    </row>
    <row r="39" spans="1:4" x14ac:dyDescent="0.25">
      <c r="A39" s="35"/>
      <c r="B39" s="35" t="s">
        <v>155</v>
      </c>
      <c r="C39" s="37">
        <v>8</v>
      </c>
      <c r="D39" s="35" t="s">
        <v>156</v>
      </c>
    </row>
    <row r="40" spans="1:4" x14ac:dyDescent="0.25">
      <c r="A40" s="35"/>
      <c r="B40" s="35" t="s">
        <v>44</v>
      </c>
      <c r="C40" s="37" t="b">
        <v>1</v>
      </c>
      <c r="D40" s="36" t="s">
        <v>45</v>
      </c>
    </row>
    <row r="41" spans="1:4" x14ac:dyDescent="0.25">
      <c r="A41" s="35"/>
      <c r="B41" s="35" t="s">
        <v>46</v>
      </c>
      <c r="C41" s="37" t="s">
        <v>47</v>
      </c>
      <c r="D41" s="36" t="s">
        <v>48</v>
      </c>
    </row>
    <row r="42" spans="1:4" x14ac:dyDescent="0.25">
      <c r="A42" s="35"/>
      <c r="B42" s="35" t="s">
        <v>103</v>
      </c>
      <c r="C42" s="37" t="s">
        <v>104</v>
      </c>
      <c r="D42" s="35" t="s">
        <v>105</v>
      </c>
    </row>
    <row r="43" spans="1:4" x14ac:dyDescent="0.25">
      <c r="A43" s="35"/>
      <c r="B43" s="35" t="s">
        <v>101</v>
      </c>
      <c r="C43" s="37">
        <v>300</v>
      </c>
      <c r="D43" s="35" t="s">
        <v>102</v>
      </c>
    </row>
    <row r="44" spans="1:4" x14ac:dyDescent="0.25">
      <c r="A44" s="35"/>
      <c r="B44" s="35" t="s">
        <v>107</v>
      </c>
      <c r="C44" s="37"/>
      <c r="D44" s="35" t="s">
        <v>108</v>
      </c>
    </row>
    <row r="45" spans="1:4" x14ac:dyDescent="0.25">
      <c r="A45" s="35"/>
      <c r="B45" s="35" t="s">
        <v>146</v>
      </c>
      <c r="C45" s="37" t="s">
        <v>147</v>
      </c>
      <c r="D45" s="35" t="s">
        <v>148</v>
      </c>
    </row>
    <row r="46" spans="1:4" x14ac:dyDescent="0.25">
      <c r="A46" s="35"/>
      <c r="B46" s="35" t="s">
        <v>51</v>
      </c>
      <c r="C46" s="37" t="b">
        <v>1</v>
      </c>
      <c r="D46" s="36" t="s">
        <v>52</v>
      </c>
    </row>
    <row r="47" spans="1:4" x14ac:dyDescent="0.25">
      <c r="A47" s="35"/>
      <c r="B47" s="35" t="s">
        <v>149</v>
      </c>
      <c r="C47" s="37">
        <v>4.4999999999999998E-2</v>
      </c>
      <c r="D47" s="35" t="s">
        <v>150</v>
      </c>
    </row>
    <row r="48" spans="1:4" x14ac:dyDescent="0.25">
      <c r="A48" s="35"/>
      <c r="B48" s="35" t="s">
        <v>144</v>
      </c>
      <c r="C48" s="37">
        <v>0.55000000000000004</v>
      </c>
      <c r="D48" s="35" t="s">
        <v>145</v>
      </c>
    </row>
    <row r="49" spans="1:4" x14ac:dyDescent="0.25">
      <c r="A49" s="35"/>
      <c r="B49" s="35" t="s">
        <v>49</v>
      </c>
      <c r="C49" s="37" t="b">
        <v>1</v>
      </c>
      <c r="D49" s="36" t="s">
        <v>50</v>
      </c>
    </row>
    <row r="50" spans="1:4" x14ac:dyDescent="0.25">
      <c r="A50" s="35"/>
      <c r="B50" s="35" t="s">
        <v>142</v>
      </c>
      <c r="C50" s="37" t="s">
        <v>23</v>
      </c>
      <c r="D50" s="35" t="s">
        <v>143</v>
      </c>
    </row>
    <row r="51" spans="1:4" s="41" customFormat="1" x14ac:dyDescent="0.25">
      <c r="A51" s="38"/>
      <c r="B51" s="38"/>
      <c r="C51" s="39"/>
      <c r="D51" s="38"/>
    </row>
    <row r="52" spans="1:4" x14ac:dyDescent="0.25">
      <c r="A52" s="35" t="s">
        <v>56</v>
      </c>
      <c r="B52" s="35" t="s">
        <v>70</v>
      </c>
      <c r="C52" s="37" t="b">
        <v>1</v>
      </c>
      <c r="D52" s="36" t="s">
        <v>71</v>
      </c>
    </row>
    <row r="53" spans="1:4" x14ac:dyDescent="0.25">
      <c r="A53" s="35" t="s">
        <v>56</v>
      </c>
      <c r="B53" s="35" t="s">
        <v>72</v>
      </c>
      <c r="C53" s="37" t="b">
        <v>1</v>
      </c>
      <c r="D53" s="36" t="s">
        <v>73</v>
      </c>
    </row>
    <row r="54" spans="1:4" s="41" customFormat="1" x14ac:dyDescent="0.25">
      <c r="A54" s="38"/>
      <c r="B54" s="38"/>
      <c r="C54" s="39"/>
      <c r="D54" s="40"/>
    </row>
    <row r="55" spans="1:4" x14ac:dyDescent="0.25">
      <c r="A55" s="35" t="s">
        <v>58</v>
      </c>
      <c r="B55" s="35" t="s">
        <v>153</v>
      </c>
      <c r="C55" s="37">
        <v>0.16</v>
      </c>
      <c r="D55" s="35" t="s">
        <v>182</v>
      </c>
    </row>
    <row r="56" spans="1:4" x14ac:dyDescent="0.25">
      <c r="A56" s="35" t="s">
        <v>58</v>
      </c>
      <c r="B56" s="35" t="s">
        <v>162</v>
      </c>
      <c r="C56" s="37">
        <v>0.12</v>
      </c>
      <c r="D56" s="35" t="s">
        <v>183</v>
      </c>
    </row>
    <row r="57" spans="1:4" x14ac:dyDescent="0.25">
      <c r="A57" s="35" t="s">
        <v>58</v>
      </c>
      <c r="B57" s="35" t="s">
        <v>72</v>
      </c>
      <c r="C57" s="37" t="b">
        <v>1</v>
      </c>
      <c r="D57" s="36" t="s">
        <v>80</v>
      </c>
    </row>
    <row r="58" spans="1:4" x14ac:dyDescent="0.25">
      <c r="A58" s="35" t="s">
        <v>58</v>
      </c>
      <c r="B58" s="35" t="s">
        <v>122</v>
      </c>
      <c r="C58" s="37">
        <v>4</v>
      </c>
      <c r="D58" s="35" t="s">
        <v>184</v>
      </c>
    </row>
    <row r="59" spans="1:4" s="41" customFormat="1" x14ac:dyDescent="0.25">
      <c r="A59" s="38"/>
      <c r="B59" s="38"/>
      <c r="C59" s="39"/>
      <c r="D59" s="38"/>
    </row>
    <row r="60" spans="1:4" x14ac:dyDescent="0.25">
      <c r="A60" s="35" t="s">
        <v>59</v>
      </c>
      <c r="B60" s="35" t="s">
        <v>153</v>
      </c>
      <c r="C60" s="37">
        <v>0.22</v>
      </c>
      <c r="D60" s="35" t="s">
        <v>185</v>
      </c>
    </row>
    <row r="61" spans="1:4" x14ac:dyDescent="0.25">
      <c r="A61" s="35" t="s">
        <v>59</v>
      </c>
      <c r="B61" s="35" t="s">
        <v>162</v>
      </c>
      <c r="C61" s="37">
        <v>0.08</v>
      </c>
      <c r="D61" s="35" t="s">
        <v>186</v>
      </c>
    </row>
    <row r="62" spans="1:4" x14ac:dyDescent="0.25">
      <c r="A62" s="35" t="s">
        <v>59</v>
      </c>
      <c r="B62" s="35" t="s">
        <v>149</v>
      </c>
      <c r="C62" s="37">
        <v>3.5000000000000003E-2</v>
      </c>
      <c r="D62" s="35" t="s">
        <v>187</v>
      </c>
    </row>
    <row r="63" spans="1:4" x14ac:dyDescent="0.25">
      <c r="A63" s="35" t="s">
        <v>59</v>
      </c>
      <c r="B63" s="35" t="s">
        <v>124</v>
      </c>
      <c r="C63" s="37">
        <v>6</v>
      </c>
      <c r="D63" s="35" t="s">
        <v>188</v>
      </c>
    </row>
    <row r="64" spans="1:4" x14ac:dyDescent="0.25">
      <c r="A64" s="35" t="s">
        <v>59</v>
      </c>
      <c r="B64" s="35" t="s">
        <v>126</v>
      </c>
      <c r="C64" s="37">
        <v>8</v>
      </c>
      <c r="D64" s="35" t="s">
        <v>189</v>
      </c>
    </row>
    <row r="65" spans="1:4" x14ac:dyDescent="0.25">
      <c r="A65" s="35" t="s">
        <v>59</v>
      </c>
      <c r="B65" s="35" t="s">
        <v>70</v>
      </c>
      <c r="C65" s="37" t="b">
        <v>1</v>
      </c>
      <c r="D65" s="36" t="s">
        <v>96</v>
      </c>
    </row>
    <row r="66" spans="1:4" x14ac:dyDescent="0.25">
      <c r="A66" s="35" t="s">
        <v>59</v>
      </c>
      <c r="B66" s="35" t="s">
        <v>97</v>
      </c>
      <c r="C66" s="37" t="b">
        <v>1</v>
      </c>
      <c r="D66" s="36" t="s">
        <v>98</v>
      </c>
    </row>
  </sheetData>
  <sortState xmlns:xlrd2="http://schemas.microsoft.com/office/spreadsheetml/2017/richdata2" ref="B5:D51">
    <sortCondition ref="B4:B51"/>
  </sortState>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sheetPr>
  <dimension ref="A1:E32"/>
  <sheetViews>
    <sheetView workbookViewId="0">
      <selection activeCell="T11" sqref="T11"/>
    </sheetView>
  </sheetViews>
  <sheetFormatPr defaultRowHeight="15" x14ac:dyDescent="0.25"/>
  <cols>
    <col min="1" max="1" width="18" customWidth="1"/>
    <col min="2" max="2" width="8" customWidth="1"/>
    <col min="3" max="3" width="3" customWidth="1"/>
    <col min="4" max="4" width="12" customWidth="1"/>
    <col min="5" max="5" width="22" customWidth="1"/>
  </cols>
  <sheetData>
    <row r="1" spans="1:5" x14ac:dyDescent="0.25">
      <c r="A1" s="1" t="s">
        <v>197</v>
      </c>
      <c r="B1" s="1" t="s">
        <v>198</v>
      </c>
      <c r="D1" s="1" t="s">
        <v>199</v>
      </c>
      <c r="E1" s="1" t="s">
        <v>200</v>
      </c>
    </row>
    <row r="2" spans="1:5" x14ac:dyDescent="0.25">
      <c r="A2" t="s">
        <v>201</v>
      </c>
      <c r="B2" s="2"/>
      <c r="D2" s="3" t="s">
        <v>67</v>
      </c>
      <c r="E2" t="s">
        <v>202</v>
      </c>
    </row>
    <row r="3" spans="1:5" x14ac:dyDescent="0.25">
      <c r="A3" t="s">
        <v>203</v>
      </c>
      <c r="B3" s="4"/>
      <c r="D3" s="3" t="s">
        <v>204</v>
      </c>
      <c r="E3" t="s">
        <v>205</v>
      </c>
    </row>
    <row r="4" spans="1:5" x14ac:dyDescent="0.25">
      <c r="A4" t="s">
        <v>206</v>
      </c>
      <c r="B4" s="5"/>
      <c r="D4" s="3" t="s">
        <v>84</v>
      </c>
      <c r="E4" t="s">
        <v>207</v>
      </c>
    </row>
    <row r="5" spans="1:5" x14ac:dyDescent="0.25">
      <c r="A5" t="s">
        <v>208</v>
      </c>
      <c r="B5" s="6"/>
      <c r="D5" s="3" t="s">
        <v>209</v>
      </c>
      <c r="E5" t="s">
        <v>210</v>
      </c>
    </row>
    <row r="6" spans="1:5" x14ac:dyDescent="0.25">
      <c r="A6" t="s">
        <v>211</v>
      </c>
      <c r="B6" s="7"/>
      <c r="D6" s="3" t="s">
        <v>212</v>
      </c>
      <c r="E6" t="s">
        <v>213</v>
      </c>
    </row>
    <row r="7" spans="1:5" x14ac:dyDescent="0.25">
      <c r="A7" t="s">
        <v>104</v>
      </c>
      <c r="B7" s="8"/>
      <c r="D7" s="3" t="s">
        <v>214</v>
      </c>
      <c r="E7" t="s">
        <v>215</v>
      </c>
    </row>
    <row r="8" spans="1:5" x14ac:dyDescent="0.25">
      <c r="A8" t="s">
        <v>90</v>
      </c>
      <c r="B8" s="9"/>
      <c r="D8" s="3" t="s">
        <v>216</v>
      </c>
      <c r="E8" t="s">
        <v>217</v>
      </c>
    </row>
    <row r="9" spans="1:5" x14ac:dyDescent="0.25">
      <c r="A9" t="s">
        <v>218</v>
      </c>
      <c r="B9" s="10"/>
      <c r="D9" s="3" t="s">
        <v>219</v>
      </c>
      <c r="E9" t="s">
        <v>220</v>
      </c>
    </row>
    <row r="10" spans="1:5" x14ac:dyDescent="0.25">
      <c r="A10" t="s">
        <v>221</v>
      </c>
      <c r="B10" s="11"/>
      <c r="D10" s="3" t="s">
        <v>222</v>
      </c>
      <c r="E10" t="s">
        <v>223</v>
      </c>
    </row>
    <row r="11" spans="1:5" x14ac:dyDescent="0.25">
      <c r="A11" t="s">
        <v>224</v>
      </c>
      <c r="B11" s="12"/>
      <c r="D11" s="3" t="s">
        <v>225</v>
      </c>
      <c r="E11" t="s">
        <v>226</v>
      </c>
    </row>
    <row r="12" spans="1:5" x14ac:dyDescent="0.25">
      <c r="A12" t="s">
        <v>227</v>
      </c>
      <c r="B12" s="13"/>
      <c r="D12" s="3" t="s">
        <v>228</v>
      </c>
      <c r="E12" t="s">
        <v>229</v>
      </c>
    </row>
    <row r="13" spans="1:5" x14ac:dyDescent="0.25">
      <c r="A13" t="s">
        <v>230</v>
      </c>
      <c r="B13" s="14"/>
      <c r="D13" s="3" t="s">
        <v>231</v>
      </c>
      <c r="E13" t="s">
        <v>232</v>
      </c>
    </row>
    <row r="14" spans="1:5" x14ac:dyDescent="0.25">
      <c r="A14" t="s">
        <v>233</v>
      </c>
      <c r="B14" s="15"/>
      <c r="D14" s="3" t="s">
        <v>234</v>
      </c>
      <c r="E14" t="s">
        <v>235</v>
      </c>
    </row>
    <row r="15" spans="1:5" x14ac:dyDescent="0.25">
      <c r="A15" t="s">
        <v>236</v>
      </c>
      <c r="B15" s="16"/>
      <c r="D15" s="3" t="s">
        <v>237</v>
      </c>
      <c r="E15" t="s">
        <v>238</v>
      </c>
    </row>
    <row r="16" spans="1:5" x14ac:dyDescent="0.25">
      <c r="A16" t="s">
        <v>239</v>
      </c>
      <c r="B16" s="17"/>
      <c r="D16" s="3" t="s">
        <v>240</v>
      </c>
      <c r="E16" t="s">
        <v>241</v>
      </c>
    </row>
    <row r="17" spans="1:5" x14ac:dyDescent="0.25">
      <c r="A17" t="s">
        <v>242</v>
      </c>
      <c r="B17" s="18"/>
      <c r="D17" s="3" t="s">
        <v>243</v>
      </c>
      <c r="E17" t="s">
        <v>244</v>
      </c>
    </row>
    <row r="18" spans="1:5" x14ac:dyDescent="0.25">
      <c r="A18" t="s">
        <v>245</v>
      </c>
      <c r="B18" s="19"/>
    </row>
    <row r="19" spans="1:5" x14ac:dyDescent="0.25">
      <c r="A19" t="s">
        <v>246</v>
      </c>
      <c r="B19" s="20"/>
    </row>
    <row r="20" spans="1:5" x14ac:dyDescent="0.25">
      <c r="A20" t="s">
        <v>93</v>
      </c>
      <c r="B20" s="21"/>
    </row>
    <row r="21" spans="1:5" x14ac:dyDescent="0.25">
      <c r="A21" t="s">
        <v>193</v>
      </c>
      <c r="B21" s="22"/>
    </row>
    <row r="22" spans="1:5" x14ac:dyDescent="0.25">
      <c r="A22" t="s">
        <v>247</v>
      </c>
      <c r="B22" s="23"/>
    </row>
    <row r="23" spans="1:5" x14ac:dyDescent="0.25">
      <c r="A23" t="s">
        <v>248</v>
      </c>
      <c r="B23" s="24"/>
    </row>
    <row r="24" spans="1:5" x14ac:dyDescent="0.25">
      <c r="A24" t="s">
        <v>249</v>
      </c>
      <c r="B24" s="25"/>
    </row>
    <row r="25" spans="1:5" x14ac:dyDescent="0.25">
      <c r="A25" t="s">
        <v>250</v>
      </c>
      <c r="B25" s="26"/>
    </row>
    <row r="26" spans="1:5" x14ac:dyDescent="0.25">
      <c r="A26" t="s">
        <v>251</v>
      </c>
      <c r="B26" s="27"/>
    </row>
    <row r="27" spans="1:5" x14ac:dyDescent="0.25">
      <c r="A27" t="s">
        <v>252</v>
      </c>
      <c r="B27" s="28"/>
    </row>
    <row r="28" spans="1:5" x14ac:dyDescent="0.25">
      <c r="A28" t="s">
        <v>253</v>
      </c>
      <c r="B28" s="29"/>
    </row>
    <row r="29" spans="1:5" x14ac:dyDescent="0.25">
      <c r="A29" t="s">
        <v>254</v>
      </c>
      <c r="B29" s="30"/>
    </row>
    <row r="31" spans="1:5" x14ac:dyDescent="0.25">
      <c r="A31" t="s">
        <v>255</v>
      </c>
    </row>
    <row r="32" spans="1:5" x14ac:dyDescent="0.25">
      <c r="A32" t="s">
        <v>256</v>
      </c>
      <c r="B32" s="31" t="s">
        <v>257</v>
      </c>
    </row>
  </sheetData>
  <hyperlinks>
    <hyperlink ref="B32" r:id="rId1" xr:uid="{00000000-0004-0000-0500-000000000000}"/>
  </hyperlinks>
  <pageMargins left="0.75" right="0.75" top="1" bottom="1" header="0.5" footer="0.5"/>
  <drawing r:id="rId2"/>
</worksheet>
</file>

<file path=docMetadata/LabelInfo.xml><?xml version="1.0" encoding="utf-8"?>
<clbl:labelList xmlns:clbl="http://schemas.microsoft.com/office/2020/mipLabelMetadata">
  <clbl:label id="{57c84fa2-b2bb-403e-b8d4-2e71c559e792}" enabled="1" method="Privileged" siteId="{adf10e2b-b6e9-41d6-be2f-c12bb566019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vt:lpstr>
      <vt:lpstr>wind_farms</vt:lpstr>
      <vt:lpstr>turbines</vt:lpstr>
      <vt:lpstr>grid_cells</vt:lpstr>
      <vt:lpstr>settings_basic</vt:lpstr>
      <vt:lpstr>settings_advanced</vt:lpstr>
      <vt:lpstr>style_reference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Baquero, Luis</cp:lastModifiedBy>
  <dcterms:created xsi:type="dcterms:W3CDTF">2026-09-07T11:07:37Z</dcterms:created>
  <dcterms:modified xsi:type="dcterms:W3CDTF">2026-09-10T08:32:34Z</dcterms:modified>
</cp:coreProperties>
</file>